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hidePivotFieldList="1" defaultThemeVersion="124226"/>
  <bookViews>
    <workbookView xWindow="-15" yWindow="-15" windowWidth="15330" windowHeight="9360" tabRatio="581"/>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chequeo'!$B$9:$V$168</definedName>
    <definedName name="AreaPro">Tablas!$G$5:$G$12</definedName>
    <definedName name="AreaProceso">[2]Tablas!$E$3:$E$42</definedName>
    <definedName name="Responsable">Tablas!$B$39:$B$73</definedName>
    <definedName name="Revisor">Tablas!$G$18:$G$20</definedName>
    <definedName name="Rol">[2]Tablas!$G$3:$G$71</definedName>
    <definedName name="TAB_GES">Tablas!$B$3:$B$5</definedName>
    <definedName name="TAB_GESTION">Tablas!$B$3:$C$5</definedName>
    <definedName name="TAB_LINEAS">[1]Tablas!$B$40:$B$48</definedName>
    <definedName name="TAB_PAQUETE">Tablas!$B$27:$B$35</definedName>
    <definedName name="TAB_PRO_FASE">[1]Tablas!$B$3:$B$5</definedName>
    <definedName name="TAB_TIP_ITERACION" localSheetId="0">[4]Tablas!#REF!</definedName>
    <definedName name="TAB_TIP_ITERACION">Tablas!$B$17:$B$22</definedName>
    <definedName name="TAB_TIP_NC">Tablas!$B$9:$B$11</definedName>
    <definedName name="TAB_TIP_NC_ACLARACION" localSheetId="0">[3]Tablas!$B$4</definedName>
    <definedName name="TAB_TIP_NC_ACLARACION" localSheetId="7">[5]Tablas!$B$4</definedName>
    <definedName name="TAB_TIP_NC_ACLARACION">Tablas!$B$10</definedName>
    <definedName name="TAB_TIP_NC_ERROR" localSheetId="0">[3]Tablas!$B$3</definedName>
    <definedName name="TAB_TIP_NC_ERROR" localSheetId="7">[5]Tablas!$B$3</definedName>
    <definedName name="TAB_TIP_NC_ERROR">Tablas!$B$9</definedName>
    <definedName name="TAB_TIP_NC_OBSERVACION" localSheetId="0">[3]Tablas!$B$5</definedName>
    <definedName name="TAB_TIP_NC_OBSERVACION" localSheetId="7">[5]Tablas!$B$5</definedName>
    <definedName name="TAB_TIP_NC_OBSERVACION">Tablas!$B$11</definedName>
  </definedNames>
  <calcPr calcId="124519"/>
  <pivotCaches>
    <pivotCache cacheId="0" r:id="rId15"/>
  </pivotCaches>
</workbook>
</file>

<file path=xl/calcChain.xml><?xml version="1.0" encoding="utf-8"?>
<calcChain xmlns="http://schemas.openxmlformats.org/spreadsheetml/2006/main">
  <c r="Q21" i="13"/>
  <c r="Q20"/>
  <c r="Q19"/>
  <c r="Q18"/>
  <c r="Q17"/>
  <c r="Q16"/>
  <c r="Q15"/>
  <c r="Q14"/>
  <c r="Q13"/>
  <c r="Q12"/>
  <c r="Q11"/>
  <c r="Q10"/>
  <c r="Q9"/>
  <c r="Q8"/>
  <c r="Q7"/>
  <c r="Q6"/>
  <c r="Q5"/>
  <c r="I14" i="12"/>
  <c r="P20" i="13"/>
  <c r="P21"/>
  <c r="L16" i="12"/>
  <c r="K16"/>
  <c r="J16"/>
  <c r="I16"/>
  <c r="P11" i="13"/>
  <c r="P12"/>
  <c r="P13"/>
  <c r="P14"/>
  <c r="P15"/>
  <c r="P16"/>
  <c r="P17"/>
  <c r="P18"/>
  <c r="P19"/>
  <c r="L15" i="12"/>
  <c r="K15"/>
  <c r="J15"/>
  <c r="I15"/>
  <c r="P5" i="13"/>
  <c r="P6"/>
  <c r="P7"/>
  <c r="P8"/>
  <c r="P9"/>
  <c r="P10"/>
  <c r="L14" i="12"/>
  <c r="K14"/>
  <c r="J14"/>
  <c r="I7"/>
  <c r="I8"/>
  <c r="I10"/>
  <c r="L7"/>
  <c r="L8"/>
  <c r="L10"/>
  <c r="J7"/>
  <c r="J8"/>
  <c r="J10"/>
  <c r="E56" i="22"/>
  <c r="K7" i="12"/>
  <c r="K8"/>
  <c r="K10"/>
  <c r="H7"/>
  <c r="H8"/>
  <c r="H10"/>
  <c r="C56" i="22"/>
  <c r="E54"/>
  <c r="J9" i="12"/>
  <c r="E55" i="22"/>
  <c r="E53"/>
  <c r="K9" i="12"/>
  <c r="L9"/>
  <c r="M8"/>
  <c r="M9"/>
  <c r="M7"/>
  <c r="I9"/>
  <c r="H9"/>
  <c r="J3" i="29"/>
  <c r="J4"/>
  <c r="J5"/>
  <c r="J6"/>
  <c r="J7"/>
  <c r="O12"/>
  <c r="X12"/>
  <c r="AF4"/>
  <c r="Y12"/>
  <c r="AG5"/>
  <c r="Z12"/>
  <c r="AH4"/>
  <c r="AA12"/>
  <c r="AI5"/>
  <c r="AB12"/>
  <c r="AJ4"/>
  <c r="AC12"/>
  <c r="AK5"/>
  <c r="B13"/>
  <c r="O13"/>
  <c r="X13"/>
  <c r="Y13"/>
  <c r="Z13"/>
  <c r="AA13"/>
  <c r="AB13"/>
  <c r="AC13"/>
  <c r="B14"/>
  <c r="O14"/>
  <c r="X14"/>
  <c r="Y14"/>
  <c r="Z14"/>
  <c r="AA14"/>
  <c r="AB14"/>
  <c r="AC14"/>
  <c r="B15"/>
  <c r="O15"/>
  <c r="X15"/>
  <c r="Y15"/>
  <c r="Z15"/>
  <c r="AA15"/>
  <c r="AB15"/>
  <c r="AC15"/>
  <c r="B16"/>
  <c r="O16"/>
  <c r="X16"/>
  <c r="Y16"/>
  <c r="Z16"/>
  <c r="AA16"/>
  <c r="AB16"/>
  <c r="AC16"/>
  <c r="B17"/>
  <c r="O17"/>
  <c r="X17"/>
  <c r="Y17"/>
  <c r="Z17"/>
  <c r="AA17"/>
  <c r="AB17"/>
  <c r="AC17"/>
  <c r="B18"/>
  <c r="O18"/>
  <c r="X18"/>
  <c r="Y18"/>
  <c r="Z18"/>
  <c r="AA18"/>
  <c r="AB18"/>
  <c r="AC18"/>
  <c r="B19"/>
  <c r="O19"/>
  <c r="X19"/>
  <c r="Y19"/>
  <c r="Z19"/>
  <c r="AA19"/>
  <c r="AB19"/>
  <c r="AC19"/>
  <c r="B20"/>
  <c r="O20"/>
  <c r="X20"/>
  <c r="Y20"/>
  <c r="Z20"/>
  <c r="AA20"/>
  <c r="AB20"/>
  <c r="AC20"/>
  <c r="B21"/>
  <c r="O21"/>
  <c r="X21"/>
  <c r="Y21"/>
  <c r="Z21"/>
  <c r="AA21"/>
  <c r="AB21"/>
  <c r="AC21"/>
  <c r="B22"/>
  <c r="O22"/>
  <c r="X22"/>
  <c r="Y22"/>
  <c r="Z22"/>
  <c r="AA22"/>
  <c r="AB22"/>
  <c r="AC22"/>
  <c r="B23"/>
  <c r="O23"/>
  <c r="X23"/>
  <c r="Y23"/>
  <c r="Z23"/>
  <c r="AA23"/>
  <c r="AB23"/>
  <c r="AC23"/>
  <c r="B24"/>
  <c r="O24"/>
  <c r="X24"/>
  <c r="Y24"/>
  <c r="Z24"/>
  <c r="AA24"/>
  <c r="AB24"/>
  <c r="AC24"/>
  <c r="B25"/>
  <c r="O25"/>
  <c r="X25"/>
  <c r="Y25"/>
  <c r="Z25"/>
  <c r="AA25"/>
  <c r="AB25"/>
  <c r="AC25"/>
  <c r="B26"/>
  <c r="O26"/>
  <c r="X26"/>
  <c r="Y26"/>
  <c r="Z26"/>
  <c r="AA26"/>
  <c r="AB26"/>
  <c r="AC26"/>
  <c r="B27"/>
  <c r="O27"/>
  <c r="X27"/>
  <c r="Y27"/>
  <c r="Z27"/>
  <c r="AA27"/>
  <c r="AB27"/>
  <c r="AC27"/>
  <c r="B28"/>
  <c r="O28"/>
  <c r="X28"/>
  <c r="Y28"/>
  <c r="Z28"/>
  <c r="AA28"/>
  <c r="AB28"/>
  <c r="AC28"/>
  <c r="B29"/>
  <c r="O29"/>
  <c r="X29"/>
  <c r="Y29"/>
  <c r="Z29"/>
  <c r="AA29"/>
  <c r="AB29"/>
  <c r="AC29"/>
  <c r="B30"/>
  <c r="O30"/>
  <c r="X30"/>
  <c r="Y30"/>
  <c r="Z30"/>
  <c r="AA30"/>
  <c r="AB30"/>
  <c r="AC30"/>
  <c r="B31"/>
  <c r="O31"/>
  <c r="X31"/>
  <c r="Y31"/>
  <c r="Z31"/>
  <c r="AA31"/>
  <c r="AB31"/>
  <c r="AC31"/>
  <c r="B32"/>
  <c r="O32"/>
  <c r="X32"/>
  <c r="Y32"/>
  <c r="Z32"/>
  <c r="AA32"/>
  <c r="AB32"/>
  <c r="AC32"/>
  <c r="B33"/>
  <c r="O33"/>
  <c r="X33"/>
  <c r="Y33"/>
  <c r="Z33"/>
  <c r="AA33"/>
  <c r="AB33"/>
  <c r="AC33"/>
  <c r="B34"/>
  <c r="O34"/>
  <c r="X34"/>
  <c r="Y34"/>
  <c r="Z34"/>
  <c r="AA34"/>
  <c r="AB34"/>
  <c r="AC34"/>
  <c r="B35"/>
  <c r="O35"/>
  <c r="X35"/>
  <c r="Y35"/>
  <c r="Z35"/>
  <c r="AA35"/>
  <c r="AB35"/>
  <c r="AC35"/>
  <c r="B36"/>
  <c r="O36"/>
  <c r="X36"/>
  <c r="Y36"/>
  <c r="Z36"/>
  <c r="AA36"/>
  <c r="AB36"/>
  <c r="AC36"/>
  <c r="B37"/>
  <c r="O37"/>
  <c r="X37"/>
  <c r="Y37"/>
  <c r="Z37"/>
  <c r="AA37"/>
  <c r="AB37"/>
  <c r="AC37"/>
  <c r="B38"/>
  <c r="O38"/>
  <c r="X38"/>
  <c r="Y38"/>
  <c r="Z38"/>
  <c r="AA38"/>
  <c r="AB38"/>
  <c r="AC38"/>
  <c r="B39"/>
  <c r="O39"/>
  <c r="X39"/>
  <c r="Y39"/>
  <c r="Z39"/>
  <c r="AA39"/>
  <c r="AB39"/>
  <c r="AC39"/>
  <c r="B40"/>
  <c r="O40"/>
  <c r="X40"/>
  <c r="Y40"/>
  <c r="Z40"/>
  <c r="AA40"/>
  <c r="AB40"/>
  <c r="AC40"/>
  <c r="B41"/>
  <c r="O41"/>
  <c r="X41"/>
  <c r="Y41"/>
  <c r="Z41"/>
  <c r="AA41"/>
  <c r="AB41"/>
  <c r="AC41"/>
  <c r="B42"/>
  <c r="O42"/>
  <c r="X42"/>
  <c r="Y42"/>
  <c r="Z42"/>
  <c r="AA42"/>
  <c r="AB42"/>
  <c r="AC42"/>
  <c r="B43"/>
  <c r="O43"/>
  <c r="X43"/>
  <c r="Y43"/>
  <c r="Z43"/>
  <c r="AA43"/>
  <c r="AB43"/>
  <c r="AC43"/>
  <c r="B44"/>
  <c r="O44"/>
  <c r="X44"/>
  <c r="Y44"/>
  <c r="Z44"/>
  <c r="AA44"/>
  <c r="AB44"/>
  <c r="AC44"/>
  <c r="B45"/>
  <c r="O45"/>
  <c r="X45"/>
  <c r="Y45"/>
  <c r="Z45"/>
  <c r="AA45"/>
  <c r="AB45"/>
  <c r="AC45"/>
  <c r="B46"/>
  <c r="O46"/>
  <c r="X46"/>
  <c r="Y46"/>
  <c r="Z46"/>
  <c r="AA46"/>
  <c r="AB46"/>
  <c r="AC46"/>
  <c r="O47"/>
  <c r="B48"/>
  <c r="O48"/>
  <c r="X48"/>
  <c r="Y48"/>
  <c r="Z48"/>
  <c r="AA48"/>
  <c r="AB48"/>
  <c r="AC48"/>
  <c r="B49"/>
  <c r="O49"/>
  <c r="X49"/>
  <c r="Y49"/>
  <c r="Z49"/>
  <c r="AA49"/>
  <c r="AB49"/>
  <c r="AC49"/>
  <c r="B50"/>
  <c r="O50"/>
  <c r="X50"/>
  <c r="Y50"/>
  <c r="Z50"/>
  <c r="AA50"/>
  <c r="AB50"/>
  <c r="AC50"/>
  <c r="B51"/>
  <c r="O51"/>
  <c r="X51"/>
  <c r="Y51"/>
  <c r="Z51"/>
  <c r="AA51"/>
  <c r="AB51"/>
  <c r="AC51"/>
  <c r="B52"/>
  <c r="O52"/>
  <c r="X52"/>
  <c r="Y52"/>
  <c r="Z52"/>
  <c r="AA52"/>
  <c r="AB52"/>
  <c r="AC52"/>
  <c r="B53"/>
  <c r="O53"/>
  <c r="X53"/>
  <c r="Y53"/>
  <c r="Z53"/>
  <c r="AA53"/>
  <c r="AB53"/>
  <c r="AC53"/>
  <c r="B54"/>
  <c r="O54"/>
  <c r="X54"/>
  <c r="Y54"/>
  <c r="Z54"/>
  <c r="AA54"/>
  <c r="AB54"/>
  <c r="AC54"/>
  <c r="B55"/>
  <c r="O55"/>
  <c r="X55"/>
  <c r="Y55"/>
  <c r="Z55"/>
  <c r="AA55"/>
  <c r="AB55"/>
  <c r="AC55"/>
  <c r="B56"/>
  <c r="O56"/>
  <c r="X56"/>
  <c r="Y56"/>
  <c r="Z56"/>
  <c r="AA56"/>
  <c r="AB56"/>
  <c r="AC56"/>
  <c r="B57"/>
  <c r="O57"/>
  <c r="X57"/>
  <c r="Y57"/>
  <c r="Z57"/>
  <c r="AA57"/>
  <c r="AB57"/>
  <c r="AC57"/>
  <c r="B58"/>
  <c r="O58"/>
  <c r="X58"/>
  <c r="Y58"/>
  <c r="Z58"/>
  <c r="AA58"/>
  <c r="AB58"/>
  <c r="AC58"/>
  <c r="B59"/>
  <c r="O59"/>
  <c r="X59"/>
  <c r="Y59"/>
  <c r="Z59"/>
  <c r="AA59"/>
  <c r="AB59"/>
  <c r="AC59"/>
  <c r="B60"/>
  <c r="O60"/>
  <c r="X60"/>
  <c r="Y60"/>
  <c r="Z60"/>
  <c r="AA60"/>
  <c r="AB60"/>
  <c r="AC60"/>
  <c r="B61"/>
  <c r="O61"/>
  <c r="X61"/>
  <c r="Y61"/>
  <c r="Z61"/>
  <c r="AA61"/>
  <c r="AB61"/>
  <c r="AC61"/>
  <c r="B62"/>
  <c r="O62"/>
  <c r="X62"/>
  <c r="Y62"/>
  <c r="Z62"/>
  <c r="AA62"/>
  <c r="AB62"/>
  <c r="AC62"/>
  <c r="B63"/>
  <c r="O63"/>
  <c r="X63"/>
  <c r="Y63"/>
  <c r="Z63"/>
  <c r="AA63"/>
  <c r="AB63"/>
  <c r="AC63"/>
  <c r="B64"/>
  <c r="O64"/>
  <c r="X64"/>
  <c r="Y64"/>
  <c r="Z64"/>
  <c r="AA64"/>
  <c r="AB64"/>
  <c r="AC64"/>
  <c r="B65"/>
  <c r="O65"/>
  <c r="X65"/>
  <c r="Y65"/>
  <c r="Z65"/>
  <c r="AA65"/>
  <c r="AB65"/>
  <c r="AC65"/>
  <c r="B66"/>
  <c r="B67"/>
  <c r="B68"/>
  <c r="B69"/>
  <c r="B70"/>
  <c r="B71"/>
  <c r="B72"/>
  <c r="B73"/>
  <c r="B74"/>
  <c r="B75"/>
  <c r="B76"/>
  <c r="B77"/>
  <c r="B78"/>
  <c r="B79"/>
  <c r="B80"/>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6"/>
  <c r="B157"/>
  <c r="B158"/>
  <c r="B159"/>
  <c r="B160"/>
  <c r="B161"/>
  <c r="B162"/>
  <c r="B163"/>
  <c r="B164"/>
  <c r="B165"/>
  <c r="B166"/>
  <c r="B167"/>
  <c r="B168"/>
  <c r="X66"/>
  <c r="Y66"/>
  <c r="Z66"/>
  <c r="AA66"/>
  <c r="AB66"/>
  <c r="AC66"/>
  <c r="O67"/>
  <c r="X67"/>
  <c r="Y67"/>
  <c r="Z67"/>
  <c r="AA67"/>
  <c r="AB67"/>
  <c r="AC67"/>
  <c r="O68"/>
  <c r="X68"/>
  <c r="Y68"/>
  <c r="Z68"/>
  <c r="AA68"/>
  <c r="AB68"/>
  <c r="AC68"/>
  <c r="O69"/>
  <c r="X69"/>
  <c r="Y69"/>
  <c r="Z69"/>
  <c r="AA69"/>
  <c r="AB69"/>
  <c r="AC69"/>
  <c r="O70"/>
  <c r="X70"/>
  <c r="Y70"/>
  <c r="Z70"/>
  <c r="AA70"/>
  <c r="AB70"/>
  <c r="AC70"/>
  <c r="O71"/>
  <c r="X71"/>
  <c r="Y71"/>
  <c r="Z71"/>
  <c r="AA71"/>
  <c r="AB71"/>
  <c r="AC71"/>
  <c r="O72"/>
  <c r="X72"/>
  <c r="Y72"/>
  <c r="Z72"/>
  <c r="AA72"/>
  <c r="AB72"/>
  <c r="AC72"/>
  <c r="X73"/>
  <c r="Y73"/>
  <c r="Z73"/>
  <c r="AA73"/>
  <c r="AB73"/>
  <c r="AC73"/>
  <c r="O74"/>
  <c r="X74"/>
  <c r="Y74"/>
  <c r="Z74"/>
  <c r="AA74"/>
  <c r="AB74"/>
  <c r="AC74"/>
  <c r="O75"/>
  <c r="X75"/>
  <c r="Y75"/>
  <c r="Z75"/>
  <c r="AA75"/>
  <c r="AB75"/>
  <c r="AC75"/>
  <c r="O76"/>
  <c r="X76"/>
  <c r="Y76"/>
  <c r="Z76"/>
  <c r="AA76"/>
  <c r="AB76"/>
  <c r="AC76"/>
  <c r="O77"/>
  <c r="X77"/>
  <c r="Y77"/>
  <c r="Z77"/>
  <c r="AA77"/>
  <c r="AB77"/>
  <c r="AC77"/>
  <c r="O78"/>
  <c r="X78"/>
  <c r="Y78"/>
  <c r="Z78"/>
  <c r="AA78"/>
  <c r="AB78"/>
  <c r="AC78"/>
  <c r="O79"/>
  <c r="X79"/>
  <c r="Y79"/>
  <c r="Z79"/>
  <c r="AA79"/>
  <c r="AB79"/>
  <c r="AC79"/>
  <c r="O80"/>
  <c r="X80"/>
  <c r="Y80"/>
  <c r="Z80"/>
  <c r="AA80"/>
  <c r="AB80"/>
  <c r="AC80"/>
  <c r="O81"/>
  <c r="O82"/>
  <c r="X82"/>
  <c r="Y82"/>
  <c r="Z82"/>
  <c r="AA82"/>
  <c r="AB82"/>
  <c r="AC82"/>
  <c r="O83"/>
  <c r="X83"/>
  <c r="Y83"/>
  <c r="Z83"/>
  <c r="AA83"/>
  <c r="AB83"/>
  <c r="AC83"/>
  <c r="O84"/>
  <c r="X84"/>
  <c r="Y84"/>
  <c r="Z84"/>
  <c r="AA84"/>
  <c r="AB84"/>
  <c r="AC84"/>
  <c r="O85"/>
  <c r="X85"/>
  <c r="Y85"/>
  <c r="Z85"/>
  <c r="AA85"/>
  <c r="AB85"/>
  <c r="AC85"/>
  <c r="O86"/>
  <c r="X86"/>
  <c r="Y86"/>
  <c r="Z86"/>
  <c r="AA86"/>
  <c r="AB86"/>
  <c r="AC86"/>
  <c r="O87"/>
  <c r="X87"/>
  <c r="Y87"/>
  <c r="Z87"/>
  <c r="AA87"/>
  <c r="AB87"/>
  <c r="AC87"/>
  <c r="O88"/>
  <c r="X88"/>
  <c r="Y88"/>
  <c r="Z88"/>
  <c r="AA88"/>
  <c r="AB88"/>
  <c r="AC88"/>
  <c r="O89"/>
  <c r="X89"/>
  <c r="Y89"/>
  <c r="Z89"/>
  <c r="AA89"/>
  <c r="AB89"/>
  <c r="AC89"/>
  <c r="O90"/>
  <c r="X90"/>
  <c r="Y90"/>
  <c r="Z90"/>
  <c r="AA90"/>
  <c r="AB90"/>
  <c r="AC90"/>
  <c r="O91"/>
  <c r="X91"/>
  <c r="Y91"/>
  <c r="Z91"/>
  <c r="AA91"/>
  <c r="AB91"/>
  <c r="AC91"/>
  <c r="O92"/>
  <c r="X92"/>
  <c r="Y92"/>
  <c r="Z92"/>
  <c r="AA92"/>
  <c r="AB92"/>
  <c r="AC92"/>
  <c r="O93"/>
  <c r="X93"/>
  <c r="Y93"/>
  <c r="Z93"/>
  <c r="AA93"/>
  <c r="AB93"/>
  <c r="AC93"/>
  <c r="O94"/>
  <c r="X94"/>
  <c r="Y94"/>
  <c r="Z94"/>
  <c r="AA94"/>
  <c r="AB94"/>
  <c r="AC94"/>
  <c r="O95"/>
  <c r="X95"/>
  <c r="Y95"/>
  <c r="Z95"/>
  <c r="AA95"/>
  <c r="AB95"/>
  <c r="AC95"/>
  <c r="X96"/>
  <c r="Y96"/>
  <c r="Z96"/>
  <c r="AA96"/>
  <c r="AB96"/>
  <c r="AC96"/>
  <c r="O97"/>
  <c r="X97"/>
  <c r="Y97"/>
  <c r="Z97"/>
  <c r="AA97"/>
  <c r="AB97"/>
  <c r="AC97"/>
  <c r="O98"/>
  <c r="X98"/>
  <c r="Y98"/>
  <c r="Z98"/>
  <c r="AA98"/>
  <c r="AB98"/>
  <c r="AC98"/>
  <c r="O99"/>
  <c r="X99"/>
  <c r="Y99"/>
  <c r="Z99"/>
  <c r="AA99"/>
  <c r="AB99"/>
  <c r="AC99"/>
  <c r="O100"/>
  <c r="X100"/>
  <c r="Y100"/>
  <c r="Z100"/>
  <c r="AA100"/>
  <c r="AB100"/>
  <c r="AC100"/>
  <c r="O101"/>
  <c r="X101"/>
  <c r="Y101"/>
  <c r="Z101"/>
  <c r="AA101"/>
  <c r="AB101"/>
  <c r="AC101"/>
  <c r="O102"/>
  <c r="X102"/>
  <c r="Y102"/>
  <c r="Z102"/>
  <c r="AA102"/>
  <c r="AB102"/>
  <c r="AC102"/>
  <c r="O103"/>
  <c r="X103"/>
  <c r="Y103"/>
  <c r="Z103"/>
  <c r="AA103"/>
  <c r="AB103"/>
  <c r="AC103"/>
  <c r="O104"/>
  <c r="X104"/>
  <c r="Y104"/>
  <c r="Z104"/>
  <c r="AA104"/>
  <c r="AB104"/>
  <c r="AC104"/>
  <c r="O105"/>
  <c r="X105"/>
  <c r="Y105"/>
  <c r="Z105"/>
  <c r="AA105"/>
  <c r="AB105"/>
  <c r="AC105"/>
  <c r="O106"/>
  <c r="X106"/>
  <c r="Y106"/>
  <c r="Z106"/>
  <c r="AA106"/>
  <c r="AB106"/>
  <c r="AC106"/>
  <c r="O107"/>
  <c r="X107"/>
  <c r="Y107"/>
  <c r="Z107"/>
  <c r="AA107"/>
  <c r="AB107"/>
  <c r="AC107"/>
  <c r="O108"/>
  <c r="X108"/>
  <c r="Y108"/>
  <c r="Z108"/>
  <c r="AA108"/>
  <c r="AB108"/>
  <c r="AC108"/>
  <c r="O109"/>
  <c r="X109"/>
  <c r="Y109"/>
  <c r="Z109"/>
  <c r="AA109"/>
  <c r="AB109"/>
  <c r="AC109"/>
  <c r="X110"/>
  <c r="Y110"/>
  <c r="Z110"/>
  <c r="AA110"/>
  <c r="AB110"/>
  <c r="AC110"/>
  <c r="O111"/>
  <c r="X111"/>
  <c r="Y111"/>
  <c r="Z111"/>
  <c r="AA111"/>
  <c r="AB111"/>
  <c r="AC111"/>
  <c r="O112"/>
  <c r="X112"/>
  <c r="Y112"/>
  <c r="Z112"/>
  <c r="AA112"/>
  <c r="AB112"/>
  <c r="AC112"/>
  <c r="O113"/>
  <c r="X113"/>
  <c r="Y113"/>
  <c r="Z113"/>
  <c r="AA113"/>
  <c r="AB113"/>
  <c r="AC113"/>
  <c r="O114"/>
  <c r="X114"/>
  <c r="Y114"/>
  <c r="Z114"/>
  <c r="AA114"/>
  <c r="AB114"/>
  <c r="AC114"/>
  <c r="O115"/>
  <c r="X115"/>
  <c r="Y115"/>
  <c r="Z115"/>
  <c r="AA115"/>
  <c r="AB115"/>
  <c r="AC115"/>
  <c r="O116"/>
  <c r="X116"/>
  <c r="Y116"/>
  <c r="Z116"/>
  <c r="AA116"/>
  <c r="AB116"/>
  <c r="AC116"/>
  <c r="O117"/>
  <c r="X117"/>
  <c r="Y117"/>
  <c r="Z117"/>
  <c r="AA117"/>
  <c r="AB117"/>
  <c r="AC117"/>
  <c r="O118"/>
  <c r="X118"/>
  <c r="Y118"/>
  <c r="Z118"/>
  <c r="AA118"/>
  <c r="AB118"/>
  <c r="AC118"/>
  <c r="X119"/>
  <c r="Y119"/>
  <c r="Z119"/>
  <c r="AA119"/>
  <c r="AB119"/>
  <c r="AC119"/>
  <c r="O120"/>
  <c r="X120"/>
  <c r="Y120"/>
  <c r="Z120"/>
  <c r="AA120"/>
  <c r="AB120"/>
  <c r="AC120"/>
  <c r="O121"/>
  <c r="X121"/>
  <c r="Y121"/>
  <c r="Z121"/>
  <c r="AA121"/>
  <c r="AB121"/>
  <c r="AC121"/>
  <c r="O122"/>
  <c r="X122"/>
  <c r="Y122"/>
  <c r="Z122"/>
  <c r="AA122"/>
  <c r="AB122"/>
  <c r="AC122"/>
  <c r="O123"/>
  <c r="X123"/>
  <c r="Y123"/>
  <c r="Z123"/>
  <c r="AA123"/>
  <c r="AB123"/>
  <c r="AC123"/>
  <c r="O124"/>
  <c r="X124"/>
  <c r="Y124"/>
  <c r="Z124"/>
  <c r="AA124"/>
  <c r="AB124"/>
  <c r="AC124"/>
  <c r="O125"/>
  <c r="X125"/>
  <c r="Y125"/>
  <c r="Z125"/>
  <c r="AA125"/>
  <c r="AB125"/>
  <c r="AC125"/>
  <c r="O126"/>
  <c r="X126"/>
  <c r="Y126"/>
  <c r="Z126"/>
  <c r="AA126"/>
  <c r="AB126"/>
  <c r="AC126"/>
  <c r="O127"/>
  <c r="X127"/>
  <c r="Y127"/>
  <c r="Z127"/>
  <c r="AA127"/>
  <c r="AB127"/>
  <c r="AC127"/>
  <c r="O128"/>
  <c r="X128"/>
  <c r="Y128"/>
  <c r="Z128"/>
  <c r="AA128"/>
  <c r="AB128"/>
  <c r="AC128"/>
  <c r="O129"/>
  <c r="X129"/>
  <c r="Y129"/>
  <c r="Z129"/>
  <c r="AA129"/>
  <c r="AB129"/>
  <c r="AC129"/>
  <c r="O130"/>
  <c r="X130"/>
  <c r="Y130"/>
  <c r="Z130"/>
  <c r="AA130"/>
  <c r="AB130"/>
  <c r="AC130"/>
  <c r="O131"/>
  <c r="X131"/>
  <c r="Y131"/>
  <c r="Z131"/>
  <c r="AA131"/>
  <c r="AB131"/>
  <c r="AC131"/>
  <c r="O132"/>
  <c r="X132"/>
  <c r="Y132"/>
  <c r="Z132"/>
  <c r="AA132"/>
  <c r="AB132"/>
  <c r="AC132"/>
  <c r="X133"/>
  <c r="Y133"/>
  <c r="Z133"/>
  <c r="AA133"/>
  <c r="AB133"/>
  <c r="AC133"/>
  <c r="O134"/>
  <c r="X134"/>
  <c r="Y134"/>
  <c r="Z134"/>
  <c r="AA134"/>
  <c r="AB134"/>
  <c r="AC134"/>
  <c r="O135"/>
  <c r="X135"/>
  <c r="Y135"/>
  <c r="Z135"/>
  <c r="AA135"/>
  <c r="AB135"/>
  <c r="AC135"/>
  <c r="O136"/>
  <c r="X136"/>
  <c r="Y136"/>
  <c r="Z136"/>
  <c r="AA136"/>
  <c r="AB136"/>
  <c r="AC136"/>
  <c r="O137"/>
  <c r="X137"/>
  <c r="Y137"/>
  <c r="Z137"/>
  <c r="AA137"/>
  <c r="AB137"/>
  <c r="AC137"/>
  <c r="O138"/>
  <c r="X138"/>
  <c r="Y138"/>
  <c r="Z138"/>
  <c r="AA138"/>
  <c r="AB138"/>
  <c r="AC138"/>
  <c r="O139"/>
  <c r="X139"/>
  <c r="Y139"/>
  <c r="Z139"/>
  <c r="AA139"/>
  <c r="AB139"/>
  <c r="AC139"/>
  <c r="O140"/>
  <c r="X140"/>
  <c r="Y140"/>
  <c r="Z140"/>
  <c r="AA140"/>
  <c r="AB140"/>
  <c r="AC140"/>
  <c r="O141"/>
  <c r="X141"/>
  <c r="Y141"/>
  <c r="Z141"/>
  <c r="AA141"/>
  <c r="AB141"/>
  <c r="AC141"/>
  <c r="O142"/>
  <c r="X142"/>
  <c r="Y142"/>
  <c r="Z142"/>
  <c r="AA142"/>
  <c r="AB142"/>
  <c r="AC142"/>
  <c r="O143"/>
  <c r="X143"/>
  <c r="Y143"/>
  <c r="Z143"/>
  <c r="AA143"/>
  <c r="AB143"/>
  <c r="AC143"/>
  <c r="O144"/>
  <c r="X144"/>
  <c r="Y144"/>
  <c r="Z144"/>
  <c r="AA144"/>
  <c r="AB144"/>
  <c r="AC144"/>
  <c r="O145"/>
  <c r="X145"/>
  <c r="Y145"/>
  <c r="Z145"/>
  <c r="AA145"/>
  <c r="AB145"/>
  <c r="AC145"/>
  <c r="O146"/>
  <c r="X146"/>
  <c r="Y146"/>
  <c r="Z146"/>
  <c r="AA146"/>
  <c r="AB146"/>
  <c r="AC146"/>
  <c r="O147"/>
  <c r="X147"/>
  <c r="Y147"/>
  <c r="Z147"/>
  <c r="AA147"/>
  <c r="AB147"/>
  <c r="AC147"/>
  <c r="O148"/>
  <c r="X148"/>
  <c r="Y148"/>
  <c r="Z148"/>
  <c r="AA148"/>
  <c r="AB148"/>
  <c r="AC148"/>
  <c r="O149"/>
  <c r="X149"/>
  <c r="Y149"/>
  <c r="Z149"/>
  <c r="AA149"/>
  <c r="AB149"/>
  <c r="AC149"/>
  <c r="O150"/>
  <c r="X150"/>
  <c r="Y150"/>
  <c r="Z150"/>
  <c r="AA150"/>
  <c r="AB150"/>
  <c r="AC150"/>
  <c r="O151"/>
  <c r="X151"/>
  <c r="Y151"/>
  <c r="Z151"/>
  <c r="AA151"/>
  <c r="AB151"/>
  <c r="AC151"/>
  <c r="O152"/>
  <c r="X152"/>
  <c r="Y152"/>
  <c r="Z152"/>
  <c r="AA152"/>
  <c r="AB152"/>
  <c r="AC152"/>
  <c r="O153"/>
  <c r="X153"/>
  <c r="Y153"/>
  <c r="Z153"/>
  <c r="AA153"/>
  <c r="AB153"/>
  <c r="AC153"/>
  <c r="O154"/>
  <c r="X154"/>
  <c r="Y154"/>
  <c r="Z154"/>
  <c r="AA154"/>
  <c r="AB154"/>
  <c r="AC154"/>
  <c r="O156"/>
  <c r="X156"/>
  <c r="Y156"/>
  <c r="Z156"/>
  <c r="AA156"/>
  <c r="AB156"/>
  <c r="AC156"/>
  <c r="O157"/>
  <c r="X157"/>
  <c r="Y157"/>
  <c r="Z157"/>
  <c r="AA157"/>
  <c r="AB157"/>
  <c r="AC157"/>
  <c r="O158"/>
  <c r="X158"/>
  <c r="Y158"/>
  <c r="Z158"/>
  <c r="AA158"/>
  <c r="AB158"/>
  <c r="AC158"/>
  <c r="O159"/>
  <c r="X159"/>
  <c r="Y159"/>
  <c r="Z159"/>
  <c r="AA159"/>
  <c r="AB159"/>
  <c r="AC159"/>
  <c r="O160"/>
  <c r="X160"/>
  <c r="Y160"/>
  <c r="Z160"/>
  <c r="AA160"/>
  <c r="AB160"/>
  <c r="AC160"/>
  <c r="O161"/>
  <c r="X161"/>
  <c r="Y161"/>
  <c r="Z161"/>
  <c r="AA161"/>
  <c r="AB161"/>
  <c r="AC161"/>
  <c r="O162"/>
  <c r="X162"/>
  <c r="Y162"/>
  <c r="Z162"/>
  <c r="AA162"/>
  <c r="AB162"/>
  <c r="AC162"/>
  <c r="O163"/>
  <c r="X163"/>
  <c r="Y163"/>
  <c r="Z163"/>
  <c r="AA163"/>
  <c r="AB163"/>
  <c r="AC163"/>
  <c r="O164"/>
  <c r="X164"/>
  <c r="Y164"/>
  <c r="Z164"/>
  <c r="AA164"/>
  <c r="AB164"/>
  <c r="AC164"/>
  <c r="O165"/>
  <c r="X165"/>
  <c r="Y165"/>
  <c r="Z165"/>
  <c r="AA165"/>
  <c r="AB165"/>
  <c r="AC165"/>
  <c r="X166"/>
  <c r="Y166"/>
  <c r="Z166"/>
  <c r="AA166"/>
  <c r="AB166"/>
  <c r="AC166"/>
  <c r="O167"/>
  <c r="X167"/>
  <c r="Y167"/>
  <c r="Z167"/>
  <c r="AA167"/>
  <c r="AB167"/>
  <c r="AC167"/>
  <c r="O168"/>
  <c r="X168"/>
  <c r="Y168"/>
  <c r="Z168"/>
  <c r="AA168"/>
  <c r="AB168"/>
  <c r="AC168"/>
  <c r="J3" i="28"/>
  <c r="J4"/>
  <c r="X168"/>
  <c r="X167"/>
  <c r="X166"/>
  <c r="X165"/>
  <c r="X164"/>
  <c r="X163"/>
  <c r="X162"/>
  <c r="X161"/>
  <c r="X160"/>
  <c r="X159"/>
  <c r="X158"/>
  <c r="X157"/>
  <c r="X156"/>
  <c r="X154"/>
  <c r="X153"/>
  <c r="X152"/>
  <c r="X151"/>
  <c r="X150"/>
  <c r="X149"/>
  <c r="X148"/>
  <c r="X147"/>
  <c r="X146"/>
  <c r="X145"/>
  <c r="X144"/>
  <c r="X143"/>
  <c r="X142"/>
  <c r="X141"/>
  <c r="X140"/>
  <c r="X139"/>
  <c r="X138"/>
  <c r="X137"/>
  <c r="X136"/>
  <c r="X135"/>
  <c r="X134"/>
  <c r="X133"/>
  <c r="X132"/>
  <c r="X131"/>
  <c r="X130"/>
  <c r="X129"/>
  <c r="X128"/>
  <c r="X127"/>
  <c r="X126"/>
  <c r="X125"/>
  <c r="X124"/>
  <c r="X123"/>
  <c r="X122"/>
  <c r="X121"/>
  <c r="X120"/>
  <c r="X119"/>
  <c r="X118"/>
  <c r="X117"/>
  <c r="X116"/>
  <c r="X115"/>
  <c r="X114"/>
  <c r="X113"/>
  <c r="X112"/>
  <c r="X111"/>
  <c r="X110"/>
  <c r="X109"/>
  <c r="X108"/>
  <c r="X107"/>
  <c r="X106"/>
  <c r="X105"/>
  <c r="X104"/>
  <c r="X103"/>
  <c r="X102"/>
  <c r="X101"/>
  <c r="X100"/>
  <c r="X99"/>
  <c r="X98"/>
  <c r="X97"/>
  <c r="X96"/>
  <c r="X95"/>
  <c r="X94"/>
  <c r="X93"/>
  <c r="X92"/>
  <c r="X91"/>
  <c r="X90"/>
  <c r="X89"/>
  <c r="X88"/>
  <c r="X87"/>
  <c r="X86"/>
  <c r="X85"/>
  <c r="X84"/>
  <c r="X83"/>
  <c r="X82"/>
  <c r="X80"/>
  <c r="X79"/>
  <c r="X78"/>
  <c r="X77"/>
  <c r="X76"/>
  <c r="X75"/>
  <c r="X74"/>
  <c r="X73"/>
  <c r="X72"/>
  <c r="X71"/>
  <c r="X70"/>
  <c r="X69"/>
  <c r="X68"/>
  <c r="X67"/>
  <c r="X66"/>
  <c r="X65"/>
  <c r="X64"/>
  <c r="X63"/>
  <c r="X62"/>
  <c r="X61"/>
  <c r="X60"/>
  <c r="X59"/>
  <c r="X58"/>
  <c r="X57"/>
  <c r="X56"/>
  <c r="X55"/>
  <c r="X54"/>
  <c r="X53"/>
  <c r="X52"/>
  <c r="X51"/>
  <c r="X50"/>
  <c r="X49"/>
  <c r="X48"/>
  <c r="X46"/>
  <c r="X45"/>
  <c r="X44"/>
  <c r="X43"/>
  <c r="X42"/>
  <c r="X41"/>
  <c r="X40"/>
  <c r="X39"/>
  <c r="X38"/>
  <c r="X37"/>
  <c r="X36"/>
  <c r="X35"/>
  <c r="X34"/>
  <c r="X33"/>
  <c r="X32"/>
  <c r="X31"/>
  <c r="X30"/>
  <c r="X29"/>
  <c r="X28"/>
  <c r="X27"/>
  <c r="X26"/>
  <c r="X25"/>
  <c r="X24"/>
  <c r="X23"/>
  <c r="X22"/>
  <c r="X21"/>
  <c r="X20"/>
  <c r="X19"/>
  <c r="X18"/>
  <c r="X17"/>
  <c r="X16"/>
  <c r="X15"/>
  <c r="X14"/>
  <c r="X13"/>
  <c r="X12"/>
  <c r="AF4"/>
  <c r="Y168"/>
  <c r="Y167"/>
  <c r="Y166"/>
  <c r="Y165"/>
  <c r="Y164"/>
  <c r="Y163"/>
  <c r="Y162"/>
  <c r="Y161"/>
  <c r="Y160"/>
  <c r="Y159"/>
  <c r="Y158"/>
  <c r="Y157"/>
  <c r="Y156"/>
  <c r="Y154"/>
  <c r="Y153"/>
  <c r="Y152"/>
  <c r="Y151"/>
  <c r="Y150"/>
  <c r="Y149"/>
  <c r="Y148"/>
  <c r="Y147"/>
  <c r="Y146"/>
  <c r="Y145"/>
  <c r="Y144"/>
  <c r="Y143"/>
  <c r="Y142"/>
  <c r="Y141"/>
  <c r="Y140"/>
  <c r="Y139"/>
  <c r="Y138"/>
  <c r="Y137"/>
  <c r="Y136"/>
  <c r="Y135"/>
  <c r="Y134"/>
  <c r="Y133"/>
  <c r="Y132"/>
  <c r="Y131"/>
  <c r="Y130"/>
  <c r="Y129"/>
  <c r="Y128"/>
  <c r="Y127"/>
  <c r="Y126"/>
  <c r="Y125"/>
  <c r="Y124"/>
  <c r="Y123"/>
  <c r="Y122"/>
  <c r="Y121"/>
  <c r="Y120"/>
  <c r="Y119"/>
  <c r="Y118"/>
  <c r="Y117"/>
  <c r="Y116"/>
  <c r="Y115"/>
  <c r="Y114"/>
  <c r="Y113"/>
  <c r="Y112"/>
  <c r="Y111"/>
  <c r="Y110"/>
  <c r="Y109"/>
  <c r="Y108"/>
  <c r="Y107"/>
  <c r="Y106"/>
  <c r="Y105"/>
  <c r="Y104"/>
  <c r="Y103"/>
  <c r="Y102"/>
  <c r="Y101"/>
  <c r="Y100"/>
  <c r="Y99"/>
  <c r="Y98"/>
  <c r="Y97"/>
  <c r="Y96"/>
  <c r="Y95"/>
  <c r="Y94"/>
  <c r="Y93"/>
  <c r="Y92"/>
  <c r="Y91"/>
  <c r="Y90"/>
  <c r="Y89"/>
  <c r="Y88"/>
  <c r="Y87"/>
  <c r="Y86"/>
  <c r="Y85"/>
  <c r="Y84"/>
  <c r="Y83"/>
  <c r="Y82"/>
  <c r="Y80"/>
  <c r="Y79"/>
  <c r="Y78"/>
  <c r="Y77"/>
  <c r="Y76"/>
  <c r="Y75"/>
  <c r="Y74"/>
  <c r="Y73"/>
  <c r="Y72"/>
  <c r="Y71"/>
  <c r="Y70"/>
  <c r="Y69"/>
  <c r="Y68"/>
  <c r="Y67"/>
  <c r="Y66"/>
  <c r="Y65"/>
  <c r="Y64"/>
  <c r="Y63"/>
  <c r="Y62"/>
  <c r="Y61"/>
  <c r="Y60"/>
  <c r="Y59"/>
  <c r="Y58"/>
  <c r="Y57"/>
  <c r="Y56"/>
  <c r="Y55"/>
  <c r="Y54"/>
  <c r="Y53"/>
  <c r="Y52"/>
  <c r="Y51"/>
  <c r="Y50"/>
  <c r="Y49"/>
  <c r="Y48"/>
  <c r="Y46"/>
  <c r="Y45"/>
  <c r="Y44"/>
  <c r="Y43"/>
  <c r="Y42"/>
  <c r="Y41"/>
  <c r="Y40"/>
  <c r="Y39"/>
  <c r="Y38"/>
  <c r="Y37"/>
  <c r="Y36"/>
  <c r="Y35"/>
  <c r="Y34"/>
  <c r="Y33"/>
  <c r="Y32"/>
  <c r="Y31"/>
  <c r="Y30"/>
  <c r="Y29"/>
  <c r="Y28"/>
  <c r="Y27"/>
  <c r="Y26"/>
  <c r="Y25"/>
  <c r="Y24"/>
  <c r="Y23"/>
  <c r="Y22"/>
  <c r="Y21"/>
  <c r="Y20"/>
  <c r="Y19"/>
  <c r="Y18"/>
  <c r="Y17"/>
  <c r="Y16"/>
  <c r="Y15"/>
  <c r="Y14"/>
  <c r="Y13"/>
  <c r="Y12"/>
  <c r="AG4"/>
  <c r="Z168"/>
  <c r="Z167"/>
  <c r="Z166"/>
  <c r="Z165"/>
  <c r="Z164"/>
  <c r="Z163"/>
  <c r="Z162"/>
  <c r="Z161"/>
  <c r="Z160"/>
  <c r="Z159"/>
  <c r="Z158"/>
  <c r="Z157"/>
  <c r="Z156"/>
  <c r="Z154"/>
  <c r="Z153"/>
  <c r="Z152"/>
  <c r="Z151"/>
  <c r="Z150"/>
  <c r="Z149"/>
  <c r="Z148"/>
  <c r="Z147"/>
  <c r="Z146"/>
  <c r="Z145"/>
  <c r="Z144"/>
  <c r="Z143"/>
  <c r="Z142"/>
  <c r="Z141"/>
  <c r="Z140"/>
  <c r="Z139"/>
  <c r="Z138"/>
  <c r="Z137"/>
  <c r="Z136"/>
  <c r="Z135"/>
  <c r="Z134"/>
  <c r="Z133"/>
  <c r="Z132"/>
  <c r="Z131"/>
  <c r="Z130"/>
  <c r="Z129"/>
  <c r="Z128"/>
  <c r="Z127"/>
  <c r="Z126"/>
  <c r="Z125"/>
  <c r="Z124"/>
  <c r="Z123"/>
  <c r="Z122"/>
  <c r="Z121"/>
  <c r="Z120"/>
  <c r="Z119"/>
  <c r="Z118"/>
  <c r="Z117"/>
  <c r="Z116"/>
  <c r="Z115"/>
  <c r="Z114"/>
  <c r="Z113"/>
  <c r="Z112"/>
  <c r="Z111"/>
  <c r="Z110"/>
  <c r="Z109"/>
  <c r="Z108"/>
  <c r="Z107"/>
  <c r="Z106"/>
  <c r="Z105"/>
  <c r="Z104"/>
  <c r="Z103"/>
  <c r="Z102"/>
  <c r="Z101"/>
  <c r="Z100"/>
  <c r="Z99"/>
  <c r="Z98"/>
  <c r="Z97"/>
  <c r="Z96"/>
  <c r="Z95"/>
  <c r="Z94"/>
  <c r="Z93"/>
  <c r="Z92"/>
  <c r="Z91"/>
  <c r="Z90"/>
  <c r="Z89"/>
  <c r="Z88"/>
  <c r="Z87"/>
  <c r="Z86"/>
  <c r="Z85"/>
  <c r="Z84"/>
  <c r="Z83"/>
  <c r="Z82"/>
  <c r="Z80"/>
  <c r="Z79"/>
  <c r="Z78"/>
  <c r="Z77"/>
  <c r="Z76"/>
  <c r="Z75"/>
  <c r="Z74"/>
  <c r="Z73"/>
  <c r="Z72"/>
  <c r="Z71"/>
  <c r="Z70"/>
  <c r="Z69"/>
  <c r="Z68"/>
  <c r="Z67"/>
  <c r="Z66"/>
  <c r="Z65"/>
  <c r="Z64"/>
  <c r="Z63"/>
  <c r="Z62"/>
  <c r="Z61"/>
  <c r="Z60"/>
  <c r="Z59"/>
  <c r="Z58"/>
  <c r="Z57"/>
  <c r="Z56"/>
  <c r="Z55"/>
  <c r="Z54"/>
  <c r="Z53"/>
  <c r="Z52"/>
  <c r="Z51"/>
  <c r="Z50"/>
  <c r="Z49"/>
  <c r="Z48"/>
  <c r="Z46"/>
  <c r="Z45"/>
  <c r="Z44"/>
  <c r="Z43"/>
  <c r="Z42"/>
  <c r="Z41"/>
  <c r="Z40"/>
  <c r="Z39"/>
  <c r="Z38"/>
  <c r="Z37"/>
  <c r="Z36"/>
  <c r="Z35"/>
  <c r="Z34"/>
  <c r="Z33"/>
  <c r="Z32"/>
  <c r="Z31"/>
  <c r="Z30"/>
  <c r="Z29"/>
  <c r="Z28"/>
  <c r="Z27"/>
  <c r="Z26"/>
  <c r="Z25"/>
  <c r="Z24"/>
  <c r="Z23"/>
  <c r="Z22"/>
  <c r="Z21"/>
  <c r="Z20"/>
  <c r="Z19"/>
  <c r="Z18"/>
  <c r="Z17"/>
  <c r="Z16"/>
  <c r="Z15"/>
  <c r="Z14"/>
  <c r="Z13"/>
  <c r="Z12"/>
  <c r="AH4"/>
  <c r="AA168"/>
  <c r="AA167"/>
  <c r="AA166"/>
  <c r="AA165"/>
  <c r="AA164"/>
  <c r="AA163"/>
  <c r="AA162"/>
  <c r="AA161"/>
  <c r="AA160"/>
  <c r="AA159"/>
  <c r="AA158"/>
  <c r="AA157"/>
  <c r="AA156"/>
  <c r="AA154"/>
  <c r="AA153"/>
  <c r="AA152"/>
  <c r="AA151"/>
  <c r="AA150"/>
  <c r="AA149"/>
  <c r="AA148"/>
  <c r="AA147"/>
  <c r="AA146"/>
  <c r="AA145"/>
  <c r="AA144"/>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1"/>
  <c r="AA100"/>
  <c r="AA99"/>
  <c r="AA98"/>
  <c r="AA97"/>
  <c r="AA96"/>
  <c r="AA95"/>
  <c r="AA94"/>
  <c r="AA93"/>
  <c r="AA92"/>
  <c r="AA91"/>
  <c r="AA90"/>
  <c r="AA89"/>
  <c r="AA88"/>
  <c r="AA87"/>
  <c r="AA86"/>
  <c r="AA85"/>
  <c r="AA84"/>
  <c r="AA83"/>
  <c r="AA82"/>
  <c r="AA80"/>
  <c r="AA79"/>
  <c r="AA78"/>
  <c r="AA77"/>
  <c r="AA76"/>
  <c r="AA75"/>
  <c r="AA74"/>
  <c r="AA73"/>
  <c r="AA72"/>
  <c r="AA71"/>
  <c r="AA70"/>
  <c r="AA69"/>
  <c r="AA68"/>
  <c r="AA67"/>
  <c r="AA66"/>
  <c r="AA65"/>
  <c r="AA64"/>
  <c r="AA63"/>
  <c r="AA62"/>
  <c r="AA61"/>
  <c r="AA60"/>
  <c r="AA59"/>
  <c r="AA58"/>
  <c r="AA57"/>
  <c r="AA56"/>
  <c r="AA55"/>
  <c r="AA54"/>
  <c r="AA53"/>
  <c r="AA52"/>
  <c r="AA51"/>
  <c r="AA50"/>
  <c r="AA49"/>
  <c r="AA48"/>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I4"/>
  <c r="AB168"/>
  <c r="AB167"/>
  <c r="AB166"/>
  <c r="AB165"/>
  <c r="AB164"/>
  <c r="AB163"/>
  <c r="AB162"/>
  <c r="AB161"/>
  <c r="AB160"/>
  <c r="AB159"/>
  <c r="AB158"/>
  <c r="AB157"/>
  <c r="AB156"/>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0"/>
  <c r="AB79"/>
  <c r="AB78"/>
  <c r="AB77"/>
  <c r="AB76"/>
  <c r="AB75"/>
  <c r="AB74"/>
  <c r="AB73"/>
  <c r="AB72"/>
  <c r="AB71"/>
  <c r="AB70"/>
  <c r="AB69"/>
  <c r="AB68"/>
  <c r="AB67"/>
  <c r="AB66"/>
  <c r="AB65"/>
  <c r="AB64"/>
  <c r="AB63"/>
  <c r="AB62"/>
  <c r="AB61"/>
  <c r="AB60"/>
  <c r="AB59"/>
  <c r="AB58"/>
  <c r="AB57"/>
  <c r="AB56"/>
  <c r="AB55"/>
  <c r="AB54"/>
  <c r="AB53"/>
  <c r="AB52"/>
  <c r="AB51"/>
  <c r="AB50"/>
  <c r="AB49"/>
  <c r="AB48"/>
  <c r="AB46"/>
  <c r="AB45"/>
  <c r="AB44"/>
  <c r="AB43"/>
  <c r="AB42"/>
  <c r="AB41"/>
  <c r="AB40"/>
  <c r="AB39"/>
  <c r="AB38"/>
  <c r="AB37"/>
  <c r="AB36"/>
  <c r="AB35"/>
  <c r="AB34"/>
  <c r="AB33"/>
  <c r="AB32"/>
  <c r="AB31"/>
  <c r="AB30"/>
  <c r="AB29"/>
  <c r="AB28"/>
  <c r="AB27"/>
  <c r="AB26"/>
  <c r="AB25"/>
  <c r="AB24"/>
  <c r="AB23"/>
  <c r="AB22"/>
  <c r="AB21"/>
  <c r="AB20"/>
  <c r="AB19"/>
  <c r="AB18"/>
  <c r="AB17"/>
  <c r="AB16"/>
  <c r="AB15"/>
  <c r="AB14"/>
  <c r="AB13"/>
  <c r="AB12"/>
  <c r="AJ4"/>
  <c r="AC168"/>
  <c r="AC167"/>
  <c r="AC166"/>
  <c r="AC165"/>
  <c r="AC164"/>
  <c r="AC163"/>
  <c r="AC162"/>
  <c r="AC161"/>
  <c r="AC160"/>
  <c r="AC159"/>
  <c r="AC158"/>
  <c r="AC157"/>
  <c r="AC156"/>
  <c r="AC154"/>
  <c r="AC153"/>
  <c r="AC152"/>
  <c r="AC151"/>
  <c r="AC150"/>
  <c r="AC149"/>
  <c r="AC148"/>
  <c r="AC147"/>
  <c r="AC146"/>
  <c r="AC145"/>
  <c r="AC144"/>
  <c r="AC143"/>
  <c r="AC142"/>
  <c r="AC141"/>
  <c r="AC140"/>
  <c r="AC139"/>
  <c r="AC138"/>
  <c r="AC137"/>
  <c r="AC136"/>
  <c r="AC135"/>
  <c r="AC134"/>
  <c r="AC133"/>
  <c r="AC132"/>
  <c r="AC131"/>
  <c r="AC130"/>
  <c r="AC129"/>
  <c r="AC128"/>
  <c r="AC127"/>
  <c r="AC126"/>
  <c r="AC125"/>
  <c r="AC124"/>
  <c r="AC123"/>
  <c r="AC122"/>
  <c r="AC121"/>
  <c r="AC120"/>
  <c r="AC119"/>
  <c r="AC118"/>
  <c r="AC117"/>
  <c r="AC116"/>
  <c r="AC115"/>
  <c r="AC114"/>
  <c r="AC113"/>
  <c r="AC112"/>
  <c r="AC111"/>
  <c r="AC110"/>
  <c r="AC109"/>
  <c r="AC108"/>
  <c r="AC107"/>
  <c r="AC106"/>
  <c r="AC105"/>
  <c r="AC104"/>
  <c r="AC103"/>
  <c r="AC102"/>
  <c r="AC101"/>
  <c r="AC100"/>
  <c r="AC99"/>
  <c r="AC98"/>
  <c r="AC97"/>
  <c r="AC96"/>
  <c r="AC95"/>
  <c r="AC94"/>
  <c r="AC93"/>
  <c r="AC92"/>
  <c r="AC91"/>
  <c r="AC90"/>
  <c r="AC89"/>
  <c r="AC88"/>
  <c r="AC87"/>
  <c r="AC86"/>
  <c r="AC85"/>
  <c r="AC84"/>
  <c r="AC83"/>
  <c r="AC82"/>
  <c r="AC80"/>
  <c r="AC79"/>
  <c r="AC78"/>
  <c r="AC77"/>
  <c r="AC76"/>
  <c r="AC75"/>
  <c r="AC74"/>
  <c r="AC73"/>
  <c r="AC72"/>
  <c r="AC71"/>
  <c r="AC70"/>
  <c r="AC69"/>
  <c r="AC68"/>
  <c r="AC67"/>
  <c r="AC66"/>
  <c r="AC65"/>
  <c r="AC64"/>
  <c r="AC63"/>
  <c r="AC62"/>
  <c r="AC61"/>
  <c r="AC60"/>
  <c r="AC59"/>
  <c r="AC58"/>
  <c r="AC57"/>
  <c r="AC56"/>
  <c r="AC55"/>
  <c r="AC54"/>
  <c r="AC53"/>
  <c r="AC52"/>
  <c r="AC51"/>
  <c r="AC50"/>
  <c r="AC49"/>
  <c r="AC48"/>
  <c r="AC46"/>
  <c r="AC45"/>
  <c r="AC44"/>
  <c r="AC43"/>
  <c r="AC42"/>
  <c r="AC41"/>
  <c r="AC40"/>
  <c r="AC39"/>
  <c r="AC38"/>
  <c r="AC37"/>
  <c r="AC36"/>
  <c r="AC35"/>
  <c r="AC34"/>
  <c r="AC33"/>
  <c r="AC32"/>
  <c r="AC31"/>
  <c r="AC30"/>
  <c r="AC29"/>
  <c r="AC28"/>
  <c r="AC27"/>
  <c r="AC26"/>
  <c r="AC25"/>
  <c r="AC24"/>
  <c r="AC23"/>
  <c r="AC22"/>
  <c r="AC21"/>
  <c r="AC20"/>
  <c r="AC19"/>
  <c r="AC18"/>
  <c r="AC17"/>
  <c r="AC16"/>
  <c r="AC15"/>
  <c r="AC14"/>
  <c r="AC13"/>
  <c r="AC12"/>
  <c r="AK4"/>
  <c r="J5"/>
  <c r="AF5"/>
  <c r="AG5"/>
  <c r="AH5"/>
  <c r="AI5"/>
  <c r="AJ5"/>
  <c r="AK5"/>
  <c r="J6"/>
  <c r="AF6"/>
  <c r="AG6"/>
  <c r="AH6"/>
  <c r="AI6"/>
  <c r="AJ6"/>
  <c r="J7"/>
  <c r="AF7"/>
  <c r="AH7"/>
  <c r="AJ7"/>
  <c r="AF8"/>
  <c r="AH8"/>
  <c r="AJ8"/>
  <c r="O12"/>
  <c r="B13"/>
  <c r="O13"/>
  <c r="B14"/>
  <c r="O14"/>
  <c r="B15"/>
  <c r="O15"/>
  <c r="B16"/>
  <c r="O16"/>
  <c r="B17"/>
  <c r="O17"/>
  <c r="B18"/>
  <c r="O18"/>
  <c r="B19"/>
  <c r="O19"/>
  <c r="B20"/>
  <c r="O20"/>
  <c r="B21"/>
  <c r="O21"/>
  <c r="B22"/>
  <c r="O22"/>
  <c r="B23"/>
  <c r="O23"/>
  <c r="B24"/>
  <c r="O24"/>
  <c r="B25"/>
  <c r="O25"/>
  <c r="B26"/>
  <c r="O26"/>
  <c r="B27"/>
  <c r="O27"/>
  <c r="B28"/>
  <c r="O28"/>
  <c r="B29"/>
  <c r="O29"/>
  <c r="B30"/>
  <c r="O30"/>
  <c r="B31"/>
  <c r="O31"/>
  <c r="B32"/>
  <c r="O32"/>
  <c r="B33"/>
  <c r="O33"/>
  <c r="B34"/>
  <c r="O34"/>
  <c r="B35"/>
  <c r="O35"/>
  <c r="B36"/>
  <c r="O36"/>
  <c r="B37"/>
  <c r="O37"/>
  <c r="B38"/>
  <c r="O38"/>
  <c r="B39"/>
  <c r="O39"/>
  <c r="B40"/>
  <c r="O40"/>
  <c r="B41"/>
  <c r="O41"/>
  <c r="B42"/>
  <c r="O42"/>
  <c r="B43"/>
  <c r="O43"/>
  <c r="B44"/>
  <c r="O44"/>
  <c r="B45"/>
  <c r="O45"/>
  <c r="B46"/>
  <c r="O46"/>
  <c r="O47"/>
  <c r="B48"/>
  <c r="O48"/>
  <c r="B49"/>
  <c r="O49"/>
  <c r="B50"/>
  <c r="O50"/>
  <c r="B51"/>
  <c r="O51"/>
  <c r="B52"/>
  <c r="O52"/>
  <c r="B53"/>
  <c r="O53"/>
  <c r="B54"/>
  <c r="O54"/>
  <c r="B55"/>
  <c r="O55"/>
  <c r="B56"/>
  <c r="O56"/>
  <c r="B57"/>
  <c r="O57"/>
  <c r="B58"/>
  <c r="O58"/>
  <c r="B59"/>
  <c r="O59"/>
  <c r="B60"/>
  <c r="O60"/>
  <c r="B61"/>
  <c r="O61"/>
  <c r="B62"/>
  <c r="O62"/>
  <c r="B63"/>
  <c r="O63"/>
  <c r="B64"/>
  <c r="O64"/>
  <c r="B65"/>
  <c r="O65"/>
  <c r="B66"/>
  <c r="B67"/>
  <c r="O67"/>
  <c r="B68"/>
  <c r="O68"/>
  <c r="B69"/>
  <c r="O69"/>
  <c r="B70"/>
  <c r="O70"/>
  <c r="B71"/>
  <c r="O71"/>
  <c r="B72"/>
  <c r="O72"/>
  <c r="B73"/>
  <c r="B74"/>
  <c r="B75"/>
  <c r="B76"/>
  <c r="B77"/>
  <c r="B78"/>
  <c r="B79"/>
  <c r="B80"/>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6"/>
  <c r="B157"/>
  <c r="B158"/>
  <c r="B159"/>
  <c r="B160"/>
  <c r="B161"/>
  <c r="B162"/>
  <c r="B163"/>
  <c r="B164"/>
  <c r="B165"/>
  <c r="B166"/>
  <c r="B167"/>
  <c r="B168"/>
  <c r="O74"/>
  <c r="O75"/>
  <c r="O76"/>
  <c r="O77"/>
  <c r="O78"/>
  <c r="O79"/>
  <c r="O80"/>
  <c r="O81"/>
  <c r="O82"/>
  <c r="O83"/>
  <c r="O84"/>
  <c r="O85"/>
  <c r="O86"/>
  <c r="O87"/>
  <c r="O88"/>
  <c r="O89"/>
  <c r="O90"/>
  <c r="O91"/>
  <c r="O92"/>
  <c r="O93"/>
  <c r="O94"/>
  <c r="O95"/>
  <c r="O97"/>
  <c r="O98"/>
  <c r="O99"/>
  <c r="O100"/>
  <c r="O101"/>
  <c r="O102"/>
  <c r="O103"/>
  <c r="O104"/>
  <c r="O105"/>
  <c r="O106"/>
  <c r="O107"/>
  <c r="O108"/>
  <c r="O109"/>
  <c r="O111"/>
  <c r="O112"/>
  <c r="O113"/>
  <c r="O114"/>
  <c r="O115"/>
  <c r="O116"/>
  <c r="O117"/>
  <c r="O118"/>
  <c r="O120"/>
  <c r="O121"/>
  <c r="O122"/>
  <c r="O123"/>
  <c r="O124"/>
  <c r="O125"/>
  <c r="O126"/>
  <c r="O127"/>
  <c r="O128"/>
  <c r="O129"/>
  <c r="O130"/>
  <c r="O131"/>
  <c r="O132"/>
  <c r="O134"/>
  <c r="O135"/>
  <c r="O136"/>
  <c r="O137"/>
  <c r="O138"/>
  <c r="O139"/>
  <c r="O140"/>
  <c r="O141"/>
  <c r="O142"/>
  <c r="O143"/>
  <c r="O144"/>
  <c r="O145"/>
  <c r="O146"/>
  <c r="O147"/>
  <c r="O148"/>
  <c r="O149"/>
  <c r="O150"/>
  <c r="O151"/>
  <c r="O152"/>
  <c r="O153"/>
  <c r="O154"/>
  <c r="O156"/>
  <c r="O157"/>
  <c r="O158"/>
  <c r="O159"/>
  <c r="O160"/>
  <c r="O161"/>
  <c r="O162"/>
  <c r="O163"/>
  <c r="O164"/>
  <c r="O165"/>
  <c r="O167"/>
  <c r="O168"/>
  <c r="Z53" i="2"/>
  <c r="Z34"/>
  <c r="Z46"/>
  <c r="Z61"/>
  <c r="Z168"/>
  <c r="Z167"/>
  <c r="Z166"/>
  <c r="Z165"/>
  <c r="Z164"/>
  <c r="Z163"/>
  <c r="Z162"/>
  <c r="Z161"/>
  <c r="Z160"/>
  <c r="Z159"/>
  <c r="Z158"/>
  <c r="Z157"/>
  <c r="Z156"/>
  <c r="Z154"/>
  <c r="Z153"/>
  <c r="Z152"/>
  <c r="Z151"/>
  <c r="Z150"/>
  <c r="Z149"/>
  <c r="Z148"/>
  <c r="Z147"/>
  <c r="Z146"/>
  <c r="Z145"/>
  <c r="Z144"/>
  <c r="Z143"/>
  <c r="Z142"/>
  <c r="Z141"/>
  <c r="Z140"/>
  <c r="Z139"/>
  <c r="Z138"/>
  <c r="Z137"/>
  <c r="Z136"/>
  <c r="Z135"/>
  <c r="Z134"/>
  <c r="Z133"/>
  <c r="Z132"/>
  <c r="Z131"/>
  <c r="Z130"/>
  <c r="Z129"/>
  <c r="Z128"/>
  <c r="Z127"/>
  <c r="Z126"/>
  <c r="Z125"/>
  <c r="Z124"/>
  <c r="Z123"/>
  <c r="Z122"/>
  <c r="Z121"/>
  <c r="Z120"/>
  <c r="Z119"/>
  <c r="Z118"/>
  <c r="Z117"/>
  <c r="Z116"/>
  <c r="Z115"/>
  <c r="Z114"/>
  <c r="Z113"/>
  <c r="Z112"/>
  <c r="Z111"/>
  <c r="Z110"/>
  <c r="Z109"/>
  <c r="Z108"/>
  <c r="Z107"/>
  <c r="Z106"/>
  <c r="Z105"/>
  <c r="Z104"/>
  <c r="Z103"/>
  <c r="Z102"/>
  <c r="Z101"/>
  <c r="Z100"/>
  <c r="Z99"/>
  <c r="Z98"/>
  <c r="Z97"/>
  <c r="Z96"/>
  <c r="Z95"/>
  <c r="Z94"/>
  <c r="Z93"/>
  <c r="Z92"/>
  <c r="Z91"/>
  <c r="Z90"/>
  <c r="Z89"/>
  <c r="Z88"/>
  <c r="Z87"/>
  <c r="Z86"/>
  <c r="Z85"/>
  <c r="Z84"/>
  <c r="Z83"/>
  <c r="Z82"/>
  <c r="Z80"/>
  <c r="Z79"/>
  <c r="Z78"/>
  <c r="Z77"/>
  <c r="Z76"/>
  <c r="Z75"/>
  <c r="Z74"/>
  <c r="Z73"/>
  <c r="Z72"/>
  <c r="Z71"/>
  <c r="Z70"/>
  <c r="Z69"/>
  <c r="Z68"/>
  <c r="Z67"/>
  <c r="Z66"/>
  <c r="Z65"/>
  <c r="Z64"/>
  <c r="Z63"/>
  <c r="Z62"/>
  <c r="Z60"/>
  <c r="Z59"/>
  <c r="Z58"/>
  <c r="Z57"/>
  <c r="Z56"/>
  <c r="Z55"/>
  <c r="Z54"/>
  <c r="Z52"/>
  <c r="Z51"/>
  <c r="Z50"/>
  <c r="Z49"/>
  <c r="Z48"/>
  <c r="Z45"/>
  <c r="Z44"/>
  <c r="Z43"/>
  <c r="Z42"/>
  <c r="Z41"/>
  <c r="Z40"/>
  <c r="Z39"/>
  <c r="Z38"/>
  <c r="Z37"/>
  <c r="Z36"/>
  <c r="Z35"/>
  <c r="Z33"/>
  <c r="Z32"/>
  <c r="Z31"/>
  <c r="Z30"/>
  <c r="Z29"/>
  <c r="Z28"/>
  <c r="Z27"/>
  <c r="Z26"/>
  <c r="Z25"/>
  <c r="Z24"/>
  <c r="Z23"/>
  <c r="Z22"/>
  <c r="Z21"/>
  <c r="Z20"/>
  <c r="Z19"/>
  <c r="Z18"/>
  <c r="Z17"/>
  <c r="Z16"/>
  <c r="Z15"/>
  <c r="Z14"/>
  <c r="Z13"/>
  <c r="AH5"/>
  <c r="Z12"/>
  <c r="AH4"/>
  <c r="AH7"/>
  <c r="AC23"/>
  <c r="AC24"/>
  <c r="AC25"/>
  <c r="AC26"/>
  <c r="AC27"/>
  <c r="AC28"/>
  <c r="AC29"/>
  <c r="AC30"/>
  <c r="AC31"/>
  <c r="AC32"/>
  <c r="AC33"/>
  <c r="AC34"/>
  <c r="AC35"/>
  <c r="AC36"/>
  <c r="AC37"/>
  <c r="AC38"/>
  <c r="AC39"/>
  <c r="AC40"/>
  <c r="AC41"/>
  <c r="AC42"/>
  <c r="AC43"/>
  <c r="AC44"/>
  <c r="AC45"/>
  <c r="AC46"/>
  <c r="AC48"/>
  <c r="AC49"/>
  <c r="AC50"/>
  <c r="AC51"/>
  <c r="AC52"/>
  <c r="AC53"/>
  <c r="AC54"/>
  <c r="AC55"/>
  <c r="AC56"/>
  <c r="AC57"/>
  <c r="AC58"/>
  <c r="AC59"/>
  <c r="AC60"/>
  <c r="AC61"/>
  <c r="AC62"/>
  <c r="AC63"/>
  <c r="AC64"/>
  <c r="AC65"/>
  <c r="AC66"/>
  <c r="AC67"/>
  <c r="AC68"/>
  <c r="AC69"/>
  <c r="AC70"/>
  <c r="AC71"/>
  <c r="AC72"/>
  <c r="AC73"/>
  <c r="AC74"/>
  <c r="AC75"/>
  <c r="AC76"/>
  <c r="AC77"/>
  <c r="AC78"/>
  <c r="AC79"/>
  <c r="AC80"/>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6"/>
  <c r="AC157"/>
  <c r="AC158"/>
  <c r="AC159"/>
  <c r="AC160"/>
  <c r="AC161"/>
  <c r="AC162"/>
  <c r="AC163"/>
  <c r="AC164"/>
  <c r="AC165"/>
  <c r="AC166"/>
  <c r="AC167"/>
  <c r="AC168"/>
  <c r="AC13"/>
  <c r="AC14"/>
  <c r="AC15"/>
  <c r="AC16"/>
  <c r="AC17"/>
  <c r="AC18"/>
  <c r="AC19"/>
  <c r="AC20"/>
  <c r="AC21"/>
  <c r="AC22"/>
  <c r="AC12"/>
  <c r="AK4"/>
  <c r="AB36"/>
  <c r="AB37"/>
  <c r="AB38"/>
  <c r="AB39"/>
  <c r="AB40"/>
  <c r="AB41"/>
  <c r="AB42"/>
  <c r="AB43"/>
  <c r="AB44"/>
  <c r="AB45"/>
  <c r="AB46"/>
  <c r="AB48"/>
  <c r="AB49"/>
  <c r="AB50"/>
  <c r="AB51"/>
  <c r="AB52"/>
  <c r="AB53"/>
  <c r="AB54"/>
  <c r="AB55"/>
  <c r="AB56"/>
  <c r="AB57"/>
  <c r="AB58"/>
  <c r="AB59"/>
  <c r="AB60"/>
  <c r="AB61"/>
  <c r="AB62"/>
  <c r="AB63"/>
  <c r="AB64"/>
  <c r="AB65"/>
  <c r="AB66"/>
  <c r="AB67"/>
  <c r="AB68"/>
  <c r="AB69"/>
  <c r="AB70"/>
  <c r="AB71"/>
  <c r="AB72"/>
  <c r="AB73"/>
  <c r="AB74"/>
  <c r="AB75"/>
  <c r="AB76"/>
  <c r="AB77"/>
  <c r="AB78"/>
  <c r="AB79"/>
  <c r="AB80"/>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6"/>
  <c r="AB157"/>
  <c r="AB158"/>
  <c r="AB159"/>
  <c r="AB160"/>
  <c r="AB161"/>
  <c r="AB162"/>
  <c r="AB163"/>
  <c r="AB164"/>
  <c r="AB165"/>
  <c r="AB166"/>
  <c r="AB167"/>
  <c r="AB168"/>
  <c r="AB28"/>
  <c r="AB29"/>
  <c r="AB30"/>
  <c r="AB31"/>
  <c r="AB32"/>
  <c r="AB33"/>
  <c r="AB34"/>
  <c r="AB13"/>
  <c r="AB14"/>
  <c r="AB15"/>
  <c r="AB16"/>
  <c r="AB17"/>
  <c r="AB18"/>
  <c r="AB19"/>
  <c r="AB20"/>
  <c r="AB21"/>
  <c r="AB22"/>
  <c r="AB23"/>
  <c r="AB24"/>
  <c r="AB25"/>
  <c r="AB26"/>
  <c r="AB27"/>
  <c r="AB12"/>
  <c r="AA22"/>
  <c r="AA23"/>
  <c r="AA24"/>
  <c r="AA25"/>
  <c r="AA26"/>
  <c r="AA27"/>
  <c r="AA28"/>
  <c r="AA29"/>
  <c r="AA30"/>
  <c r="AA31"/>
  <c r="AA32"/>
  <c r="AA33"/>
  <c r="AA34"/>
  <c r="AA35"/>
  <c r="AA36"/>
  <c r="AA37"/>
  <c r="AA38"/>
  <c r="AA39"/>
  <c r="AA40"/>
  <c r="AA41"/>
  <c r="AA42"/>
  <c r="AA43"/>
  <c r="AA44"/>
  <c r="AA45"/>
  <c r="AA46"/>
  <c r="AA48"/>
  <c r="AA49"/>
  <c r="AA50"/>
  <c r="AA51"/>
  <c r="AA52"/>
  <c r="AA53"/>
  <c r="AA54"/>
  <c r="AA55"/>
  <c r="AA56"/>
  <c r="AA57"/>
  <c r="AA58"/>
  <c r="AA59"/>
  <c r="AA60"/>
  <c r="AA61"/>
  <c r="AA62"/>
  <c r="AA63"/>
  <c r="AA64"/>
  <c r="AA65"/>
  <c r="AA66"/>
  <c r="AA67"/>
  <c r="AA68"/>
  <c r="AA69"/>
  <c r="AA70"/>
  <c r="AA71"/>
  <c r="AA72"/>
  <c r="AA73"/>
  <c r="AA74"/>
  <c r="AA75"/>
  <c r="AA76"/>
  <c r="AA77"/>
  <c r="AA78"/>
  <c r="AA79"/>
  <c r="AA80"/>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6"/>
  <c r="AA157"/>
  <c r="AA158"/>
  <c r="AA159"/>
  <c r="AA160"/>
  <c r="AA161"/>
  <c r="AA162"/>
  <c r="AA163"/>
  <c r="AA164"/>
  <c r="AA165"/>
  <c r="AA166"/>
  <c r="AA167"/>
  <c r="AA168"/>
  <c r="AA13"/>
  <c r="AA14"/>
  <c r="AA15"/>
  <c r="AA16"/>
  <c r="AA17"/>
  <c r="AA18"/>
  <c r="AA19"/>
  <c r="AA20"/>
  <c r="AA21"/>
  <c r="AA12"/>
  <c r="Y168"/>
  <c r="Y158"/>
  <c r="Y159"/>
  <c r="Y160"/>
  <c r="Y161"/>
  <c r="Y162"/>
  <c r="Y163"/>
  <c r="Y164"/>
  <c r="Y165"/>
  <c r="Y166"/>
  <c r="Y167"/>
  <c r="Y149"/>
  <c r="Y150"/>
  <c r="Y151"/>
  <c r="Y152"/>
  <c r="Y153"/>
  <c r="Y154"/>
  <c r="Y156"/>
  <c r="Y157"/>
  <c r="Y143"/>
  <c r="Y144"/>
  <c r="Y145"/>
  <c r="Y146"/>
  <c r="Y147"/>
  <c r="Y148"/>
  <c r="Y136"/>
  <c r="Y137"/>
  <c r="Y138"/>
  <c r="Y139"/>
  <c r="Y140"/>
  <c r="Y141"/>
  <c r="Y142"/>
  <c r="Y130"/>
  <c r="Y131"/>
  <c r="Y132"/>
  <c r="Y133"/>
  <c r="Y134"/>
  <c r="Y135"/>
  <c r="Y119"/>
  <c r="Y120"/>
  <c r="Y121"/>
  <c r="Y122"/>
  <c r="Y123"/>
  <c r="Y124"/>
  <c r="Y125"/>
  <c r="Y126"/>
  <c r="Y127"/>
  <c r="Y128"/>
  <c r="Y129"/>
  <c r="Y113"/>
  <c r="Y114"/>
  <c r="Y115"/>
  <c r="Y116"/>
  <c r="Y117"/>
  <c r="Y118"/>
  <c r="Y101"/>
  <c r="Y102"/>
  <c r="Y103"/>
  <c r="Y104"/>
  <c r="Y105"/>
  <c r="Y106"/>
  <c r="Y107"/>
  <c r="Y108"/>
  <c r="Y109"/>
  <c r="Y110"/>
  <c r="Y111"/>
  <c r="Y112"/>
  <c r="Y91"/>
  <c r="Y92"/>
  <c r="Y93"/>
  <c r="Y94"/>
  <c r="Y95"/>
  <c r="Y96"/>
  <c r="Y97"/>
  <c r="Y98"/>
  <c r="Y99"/>
  <c r="Y100"/>
  <c r="Y79"/>
  <c r="Y80"/>
  <c r="Y82"/>
  <c r="Y83"/>
  <c r="Y84"/>
  <c r="Y85"/>
  <c r="Y86"/>
  <c r="Y87"/>
  <c r="Y88"/>
  <c r="Y89"/>
  <c r="Y90"/>
  <c r="Y71"/>
  <c r="Y72"/>
  <c r="Y73"/>
  <c r="Y74"/>
  <c r="Y75"/>
  <c r="Y76"/>
  <c r="Y77"/>
  <c r="Y78"/>
  <c r="Y67"/>
  <c r="Y68"/>
  <c r="Y69"/>
  <c r="Y70"/>
  <c r="Y13"/>
  <c r="Y14"/>
  <c r="Y15"/>
  <c r="Y16"/>
  <c r="Y17"/>
  <c r="Y18"/>
  <c r="Y19"/>
  <c r="Y20"/>
  <c r="Y21"/>
  <c r="Y22"/>
  <c r="Y23"/>
  <c r="Y24"/>
  <c r="Y25"/>
  <c r="Y26"/>
  <c r="Y27"/>
  <c r="Y28"/>
  <c r="Y29"/>
  <c r="Y30"/>
  <c r="Y31"/>
  <c r="Y32"/>
  <c r="Y33"/>
  <c r="Y34"/>
  <c r="Y35"/>
  <c r="Y36"/>
  <c r="Y37"/>
  <c r="Y38"/>
  <c r="Y39"/>
  <c r="Y40"/>
  <c r="Y41"/>
  <c r="Y42"/>
  <c r="Y43"/>
  <c r="Y44"/>
  <c r="Y45"/>
  <c r="Y46"/>
  <c r="Y48"/>
  <c r="Y49"/>
  <c r="Y50"/>
  <c r="Y51"/>
  <c r="Y52"/>
  <c r="Y53"/>
  <c r="Y54"/>
  <c r="Y55"/>
  <c r="Y56"/>
  <c r="Y57"/>
  <c r="Y58"/>
  <c r="Y59"/>
  <c r="Y60"/>
  <c r="Y61"/>
  <c r="Y62"/>
  <c r="Y63"/>
  <c r="Y64"/>
  <c r="Y65"/>
  <c r="Y66"/>
  <c r="Y12"/>
  <c r="X64"/>
  <c r="X65"/>
  <c r="X66"/>
  <c r="X67"/>
  <c r="X68"/>
  <c r="X69"/>
  <c r="X70"/>
  <c r="X71"/>
  <c r="X72"/>
  <c r="X73"/>
  <c r="X74"/>
  <c r="X75"/>
  <c r="X76"/>
  <c r="X77"/>
  <c r="X78"/>
  <c r="X79"/>
  <c r="X80"/>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6"/>
  <c r="X157"/>
  <c r="X158"/>
  <c r="X159"/>
  <c r="X160"/>
  <c r="X161"/>
  <c r="X162"/>
  <c r="X163"/>
  <c r="X164"/>
  <c r="X165"/>
  <c r="X166"/>
  <c r="X167"/>
  <c r="X168"/>
  <c r="X59"/>
  <c r="X60"/>
  <c r="X61"/>
  <c r="X62"/>
  <c r="X63"/>
  <c r="X53"/>
  <c r="X54"/>
  <c r="X55"/>
  <c r="X56"/>
  <c r="X57"/>
  <c r="X58"/>
  <c r="X50"/>
  <c r="X48"/>
  <c r="X46"/>
  <c r="X42"/>
  <c r="X43"/>
  <c r="X44"/>
  <c r="X45"/>
  <c r="X40"/>
  <c r="X41"/>
  <c r="X35"/>
  <c r="X36"/>
  <c r="X37"/>
  <c r="X38"/>
  <c r="X39"/>
  <c r="X17"/>
  <c r="X18"/>
  <c r="X19"/>
  <c r="X20"/>
  <c r="X21"/>
  <c r="X22"/>
  <c r="X23"/>
  <c r="X24"/>
  <c r="X25"/>
  <c r="X26"/>
  <c r="X27"/>
  <c r="X28"/>
  <c r="X29"/>
  <c r="X30"/>
  <c r="X31"/>
  <c r="X16"/>
  <c r="X15"/>
  <c r="AH6"/>
  <c r="AB35"/>
  <c r="AJ5"/>
  <c r="AI4"/>
  <c r="AI5"/>
  <c r="AI7"/>
  <c r="AJ4"/>
  <c r="AG4"/>
  <c r="AG5"/>
  <c r="X52"/>
  <c r="X51"/>
  <c r="X49"/>
  <c r="X34"/>
  <c r="X33"/>
  <c r="X32"/>
  <c r="X14"/>
  <c r="X13"/>
  <c r="X12"/>
  <c r="AK6"/>
  <c r="AI6"/>
  <c r="AG6"/>
  <c r="M10" i="12"/>
  <c r="B13" i="2"/>
  <c r="B14"/>
  <c r="B15"/>
  <c r="B16"/>
  <c r="B17"/>
  <c r="B18"/>
  <c r="B19"/>
  <c r="B20"/>
  <c r="B21"/>
  <c r="B22"/>
  <c r="B23"/>
  <c r="B24"/>
  <c r="B25"/>
  <c r="B26"/>
  <c r="B27"/>
  <c r="B28"/>
  <c r="B29"/>
  <c r="B30"/>
  <c r="B31"/>
  <c r="B32"/>
  <c r="B33"/>
  <c r="B34"/>
  <c r="B35"/>
  <c r="B36"/>
  <c r="B37"/>
  <c r="B38"/>
  <c r="B39"/>
  <c r="B40"/>
  <c r="B41"/>
  <c r="B42"/>
  <c r="B43"/>
  <c r="B44"/>
  <c r="B45"/>
  <c r="B46"/>
  <c r="B48"/>
  <c r="B49"/>
  <c r="B50"/>
  <c r="B51"/>
  <c r="B52"/>
  <c r="B53"/>
  <c r="B54"/>
  <c r="B55"/>
  <c r="B56"/>
  <c r="B57"/>
  <c r="D55" i="22"/>
  <c r="F55"/>
  <c r="G55"/>
  <c r="H55"/>
  <c r="D54"/>
  <c r="F54"/>
  <c r="G54"/>
  <c r="H54"/>
  <c r="C54"/>
  <c r="C55"/>
  <c r="D53"/>
  <c r="F53"/>
  <c r="G53"/>
  <c r="H53"/>
  <c r="C53"/>
  <c r="O13" i="2"/>
  <c r="O14"/>
  <c r="O15"/>
  <c r="O16"/>
  <c r="O17"/>
  <c r="O18"/>
  <c r="O19"/>
  <c r="O20"/>
  <c r="O21"/>
  <c r="O22"/>
  <c r="O23"/>
  <c r="O24"/>
  <c r="O25"/>
  <c r="O26"/>
  <c r="O27"/>
  <c r="O28"/>
  <c r="O29"/>
  <c r="O30"/>
  <c r="O31"/>
  <c r="O32"/>
  <c r="O33"/>
  <c r="O34"/>
  <c r="O35"/>
  <c r="O36"/>
  <c r="O37"/>
  <c r="O38"/>
  <c r="O39"/>
  <c r="O40"/>
  <c r="O41"/>
  <c r="O42"/>
  <c r="O43"/>
  <c r="O44"/>
  <c r="O45"/>
  <c r="O46"/>
  <c r="J3"/>
  <c r="J4"/>
  <c r="D56" i="22"/>
  <c r="F56"/>
  <c r="G56"/>
  <c r="H56"/>
  <c r="C57"/>
  <c r="D57"/>
  <c r="E57"/>
  <c r="F57"/>
  <c r="G57"/>
  <c r="H57"/>
  <c r="O75" i="2"/>
  <c r="O123"/>
  <c r="O100"/>
  <c r="O58"/>
  <c r="O168"/>
  <c r="O165"/>
  <c r="O164"/>
  <c r="O159"/>
  <c r="O126"/>
  <c r="O112"/>
  <c r="O103"/>
  <c r="O107"/>
  <c r="O106"/>
  <c r="O105"/>
  <c r="O104"/>
  <c r="O94"/>
  <c r="O142"/>
  <c r="O84"/>
  <c r="O139"/>
  <c r="O81"/>
  <c r="O47"/>
  <c r="J5"/>
  <c r="O48"/>
  <c r="O49"/>
  <c r="O50"/>
  <c r="O51"/>
  <c r="O52"/>
  <c r="O53"/>
  <c r="O54"/>
  <c r="O55"/>
  <c r="O56"/>
  <c r="O57"/>
  <c r="O59"/>
  <c r="O60"/>
  <c r="O61"/>
  <c r="O62"/>
  <c r="O63"/>
  <c r="O64"/>
  <c r="O65"/>
  <c r="O67"/>
  <c r="O68"/>
  <c r="O69"/>
  <c r="O70"/>
  <c r="O71"/>
  <c r="O72"/>
  <c r="O74"/>
  <c r="O76"/>
  <c r="O77"/>
  <c r="O78"/>
  <c r="O79"/>
  <c r="O80"/>
  <c r="O82"/>
  <c r="O83"/>
  <c r="O85"/>
  <c r="O86"/>
  <c r="O87"/>
  <c r="O88"/>
  <c r="O90"/>
  <c r="O91"/>
  <c r="O92"/>
  <c r="O93"/>
  <c r="O89"/>
  <c r="O95"/>
  <c r="O97"/>
  <c r="O98"/>
  <c r="O99"/>
  <c r="O101"/>
  <c r="O102"/>
  <c r="O108"/>
  <c r="O109"/>
  <c r="O111"/>
  <c r="O113"/>
  <c r="O114"/>
  <c r="O115"/>
  <c r="O116"/>
  <c r="O117"/>
  <c r="O118"/>
  <c r="O120"/>
  <c r="O121"/>
  <c r="O122"/>
  <c r="O124"/>
  <c r="O125"/>
  <c r="O127"/>
  <c r="O128"/>
  <c r="O129"/>
  <c r="O130"/>
  <c r="O131"/>
  <c r="O132"/>
  <c r="O134"/>
  <c r="O135"/>
  <c r="O136"/>
  <c r="O137"/>
  <c r="O138"/>
  <c r="O140"/>
  <c r="O141"/>
  <c r="O143"/>
  <c r="O144"/>
  <c r="O145"/>
  <c r="O146"/>
  <c r="O147"/>
  <c r="O148"/>
  <c r="O149"/>
  <c r="O150"/>
  <c r="O151"/>
  <c r="O152"/>
  <c r="O153"/>
  <c r="O154"/>
  <c r="O156"/>
  <c r="O157"/>
  <c r="O158"/>
  <c r="O160"/>
  <c r="O161"/>
  <c r="O162"/>
  <c r="O163"/>
  <c r="O167"/>
  <c r="O12"/>
  <c r="E10" i="12"/>
  <c r="E9"/>
  <c r="E8"/>
  <c r="E7"/>
  <c r="E6"/>
  <c r="AK5" i="2"/>
  <c r="AK8"/>
  <c r="AJ6"/>
  <c r="AF4"/>
  <c r="AF7"/>
  <c r="AJ7"/>
  <c r="AF6"/>
  <c r="AI8"/>
  <c r="AG8"/>
  <c r="J7"/>
  <c r="AJ8"/>
  <c r="AF5"/>
  <c r="AG7"/>
  <c r="J6"/>
  <c r="AH8"/>
  <c r="B59"/>
  <c r="B60"/>
  <c r="B61"/>
  <c r="B62"/>
  <c r="B63"/>
  <c r="B64"/>
  <c r="B65"/>
  <c r="B66"/>
  <c r="B67"/>
  <c r="B68"/>
  <c r="B69"/>
  <c r="B70"/>
  <c r="B71"/>
  <c r="B72"/>
  <c r="B73"/>
  <c r="B74"/>
  <c r="B75"/>
  <c r="B76"/>
  <c r="B77"/>
  <c r="B78"/>
  <c r="B79"/>
  <c r="B80"/>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6"/>
  <c r="B157"/>
  <c r="B158"/>
  <c r="B159"/>
  <c r="B160"/>
  <c r="B161"/>
  <c r="B162"/>
  <c r="B163"/>
  <c r="B164"/>
  <c r="B165"/>
  <c r="B166"/>
  <c r="B167"/>
  <c r="B168"/>
  <c r="B58"/>
  <c r="AF8"/>
  <c r="AI7" i="28"/>
  <c r="AI8"/>
  <c r="AJ7" i="29"/>
  <c r="AK7" i="28"/>
  <c r="AK8"/>
  <c r="AG7"/>
  <c r="AG8"/>
  <c r="AK6" i="29"/>
  <c r="AI6"/>
  <c r="AG6"/>
  <c r="AJ5"/>
  <c r="AJ8"/>
  <c r="AH5"/>
  <c r="AH8"/>
  <c r="AF5"/>
  <c r="AF8"/>
  <c r="AK4"/>
  <c r="AI4"/>
  <c r="AG4"/>
  <c r="AK6" i="28"/>
  <c r="AJ6" i="29"/>
  <c r="AH6"/>
  <c r="AF6"/>
  <c r="AK7" i="2"/>
  <c r="AK7" i="29"/>
  <c r="AK8"/>
  <c r="AF7"/>
  <c r="AH7"/>
  <c r="AG7"/>
  <c r="AG8"/>
  <c r="AI7"/>
  <c r="AI8"/>
</calcChain>
</file>

<file path=xl/comments1.xml><?xml version="1.0" encoding="utf-8"?>
<comments xmlns="http://schemas.openxmlformats.org/spreadsheetml/2006/main">
  <authors>
    <author>np5375156</author>
  </authors>
  <commentList>
    <comment ref="F4" author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text>
        <r>
          <rPr>
            <sz val="8"/>
            <color indexed="81"/>
            <rFont val="Tahoma"/>
            <family val="2"/>
          </rPr>
          <t>Acción immediata a realizar para corregir la no conformidad. 
En el caso que no aplique llenar la columna de Actividades realizadas y colocar "No aplica".</t>
        </r>
      </text>
    </comment>
    <comment ref="L4" authorId="1">
      <text>
        <r>
          <rPr>
            <sz val="8"/>
            <color indexed="81"/>
            <rFont val="Tahoma"/>
            <family val="2"/>
          </rPr>
          <t>Ingresar iniciales del responsable de levantar la no conformidad</t>
        </r>
      </text>
    </comment>
    <comment ref="M4" authorId="1">
      <text>
        <r>
          <rPr>
            <sz val="8"/>
            <color indexed="81"/>
            <rFont val="Tahoma"/>
            <family val="2"/>
          </rPr>
          <t>Es la fecha final de ejecución del tratamiento acordada entre el Revisor de QA y el Responsable 
(dd/mm/yyyy)</t>
        </r>
      </text>
    </comment>
    <comment ref="N4" authorId="2">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<sst xmlns="http://schemas.openxmlformats.org/spreadsheetml/2006/main" count="5574" uniqueCount="607">
  <si>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</si>
  <si>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</si>
  <si>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</si>
  <si>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</si>
  <si>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</si>
  <si>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</si>
  <si>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</si>
  <si>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</si>
  <si>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</si>
  <si>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</si>
  <si>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</si>
  <si>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</si>
  <si>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</si>
  <si>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</si>
  <si>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</si>
  <si>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</si>
  <si>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</si>
  <si>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</si>
  <si>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</si>
  <si>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</si>
  <si>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</si>
  <si>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</si>
  <si>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</si>
  <si>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</si>
  <si>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</si>
  <si>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</si>
  <si>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OPD</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</si>
  <si>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</si>
  <si>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</si>
  <si>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</si>
  <si>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</si>
  <si>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</si>
  <si>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</si>
  <si>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</si>
  <si>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</si>
  <si>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</si>
  <si>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</si>
  <si>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</si>
  <si>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</si>
  <si>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</si>
  <si>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</si>
  <si>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</si>
  <si>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</si>
  <si>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</si>
  <si>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</si>
  <si>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</si>
  <si>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</si>
  <si>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</si>
  <si>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</si>
  <si>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</si>
  <si>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</si>
  <si>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</si>
  <si>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</si>
  <si>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</si>
  <si>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</si>
  <si>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</si>
  <si>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</si>
  <si>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</si>
  <si>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</si>
  <si>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</si>
  <si>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</si>
  <si>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</si>
  <si>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</si>
  <si>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</si>
  <si>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</si>
  <si>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</si>
  <si>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</si>
  <si>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</si>
  <si>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</si>
  <si>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</si>
  <si>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</si>
  <si>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</si>
  <si>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</si>
  <si>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</si>
  <si>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</si>
  <si>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</si>
  <si>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</si>
  <si>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</si>
  <si>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7.0.1.22 Proceso de elaboración de propuestas</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</si>
  <si>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</si>
  <si>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</si>
  <si>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</si>
  <si>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</si>
  <si>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</si>
  <si>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</si>
  <si>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</si>
  <si>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Estimar de acuerdo de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</si>
  <si>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</si>
  <si>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</si>
  <si>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</si>
  <si>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</si>
  <si>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</si>
  <si>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</si>
  <si>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</si>
  <si>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</si>
  <si>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</si>
  <si>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</si>
  <si>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</si>
  <si>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</si>
  <si>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</si>
  <si>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</si>
  <si>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</si>
  <si>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</si>
  <si>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</si>
  <si>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</si>
  <si>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</si>
  <si>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</si>
  <si>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</si>
  <si>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</si>
  <si>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</si>
  <si>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</si>
  <si>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</si>
  <si>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</si>
  <si>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</si>
  <si>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</si>
  <si>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</si>
  <si>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</si>
  <si>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</si>
  <si>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</si>
  <si>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</si>
  <si>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</si>
  <si>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</si>
  <si>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</si>
  <si>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</si>
  <si>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</si>
  <si>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</si>
  <si>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</si>
  <si>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</si>
  <si>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</si>
  <si>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</si>
  <si>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</si>
  <si>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</si>
  <si>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</si>
  <si>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</si>
  <si>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</si>
  <si>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</si>
  <si>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</si>
  <si>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</si>
  <si>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</si>
  <si>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</si>
  <si>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</si>
  <si>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</si>
  <si>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</si>
  <si>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</si>
  <si>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</si>
  <si>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</si>
  <si>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</si>
  <si>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</si>
  <si>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</si>
  <si>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</si>
  <si>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</si>
  <si>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</si>
  <si>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</si>
  <si>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</si>
  <si>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</si>
  <si>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</si>
  <si>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</si>
  <si>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</si>
  <si>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</si>
  <si>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</si>
  <si>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</si>
  <si>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</si>
  <si>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</si>
  <si>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</si>
  <si>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</si>
  <si>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</si>
  <si>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</si>
  <si>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</si>
  <si>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</si>
  <si>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</si>
  <si>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</si>
  <si>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</si>
  <si>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</si>
  <si>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</si>
  <si>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</si>
  <si>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</si>
  <si>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</si>
  <si>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</si>
  <si>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</si>
  <si>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</si>
  <si>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</si>
  <si>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</si>
  <si>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</si>
  <si>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</si>
  <si>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</si>
  <si>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</si>
  <si>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</si>
  <si>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</si>
  <si>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</si>
  <si>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</si>
  <si>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</si>
  <si>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</si>
  <si>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</si>
  <si>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</si>
  <si>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</si>
  <si>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</si>
  <si>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</si>
  <si>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</si>
  <si>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</si>
  <si>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</si>
  <si>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</si>
  <si>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</si>
  <si>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</si>
  <si>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</si>
  <si>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</si>
  <si>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</si>
  <si>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</si>
  <si>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</si>
  <si>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</si>
  <si>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</si>
  <si>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</si>
  <si>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</si>
  <si>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</si>
  <si>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</si>
  <si>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</si>
  <si>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</si>
  <si>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</si>
  <si>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</si>
  <si>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</si>
  <si>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</si>
  <si>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</si>
  <si>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</si>
  <si>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</si>
  <si>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</si>
  <si>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</si>
  <si>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</si>
  <si>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</si>
  <si>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</si>
  <si>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</si>
  <si>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</si>
  <si>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</si>
  <si>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</si>
  <si>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</si>
  <si>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</si>
  <si>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</si>
  <si>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</si>
  <si>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</si>
  <si>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</si>
  <si>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</si>
  <si>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</si>
  <si>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</si>
  <si>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</si>
  <si>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</si>
  <si>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</si>
  <si>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</si>
  <si>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</si>
  <si>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</si>
  <si>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</si>
  <si>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</si>
  <si>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</si>
  <si>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</si>
  <si>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</si>
  <si>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</si>
  <si>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</si>
  <si>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</si>
  <si>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</si>
  <si>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</si>
  <si>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</si>
  <si>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</si>
  <si>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</si>
  <si>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</si>
  <si>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</si>
  <si>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</si>
  <si>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</si>
  <si>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</si>
  <si>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</si>
  <si>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</si>
  <si>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</si>
  <si>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</si>
  <si>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</si>
  <si>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</si>
  <si>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</si>
  <si>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</si>
  <si>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</si>
  <si>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</si>
  <si>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</si>
  <si>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</si>
  <si>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</si>
  <si>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</si>
  <si>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</si>
  <si>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</si>
  <si>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</si>
  <si>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</si>
  <si>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</si>
  <si>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</si>
  <si>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</si>
  <si>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</si>
  <si>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</si>
  <si>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</si>
  <si>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</si>
  <si>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</si>
  <si>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</si>
  <si>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</si>
  <si>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</si>
  <si>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</si>
  <si>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</si>
  <si>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</si>
  <si>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</si>
  <si>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</si>
  <si>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</si>
  <si>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</si>
  <si>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</si>
  <si>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</si>
  <si>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</si>
  <si>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</si>
  <si>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</si>
  <si>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</si>
  <si>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</si>
  <si>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</si>
  <si>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</si>
  <si>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</si>
  <si>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</si>
  <si>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</si>
  <si>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</si>
  <si>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</si>
  <si>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</si>
  <si>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</si>
  <si>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</si>
  <si>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</si>
  <si>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</si>
  <si>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</si>
  <si>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</si>
  <si>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</si>
  <si>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</si>
  <si>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</si>
  <si>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</si>
  <si>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</si>
  <si>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</si>
  <si>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</si>
  <si>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</si>
  <si>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</si>
  <si>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</si>
  <si>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</si>
  <si>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</si>
  <si>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</si>
  <si>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</si>
  <si>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</si>
  <si>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</si>
  <si>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</si>
  <si>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</si>
  <si>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</si>
  <si>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</si>
  <si>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</si>
  <si>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</si>
  <si>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</si>
  <si>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</si>
  <si>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</si>
  <si>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</si>
  <si>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</si>
  <si>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</si>
  <si>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</si>
  <si>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</si>
  <si>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</si>
  <si>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</si>
  <si>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</si>
  <si>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</si>
  <si>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</si>
  <si>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</si>
  <si>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</si>
  <si>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</si>
  <si>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</si>
  <si>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</si>
  <si>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</si>
  <si>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</si>
  <si>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</si>
  <si>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</si>
  <si>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</si>
  <si>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</si>
  <si>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</si>
  <si>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</si>
  <si>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</si>
  <si>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</si>
  <si>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</si>
  <si>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</si>
  <si>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</si>
  <si>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</si>
  <si>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</si>
  <si>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</si>
  <si>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</si>
  <si>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</si>
  <si>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</si>
  <si>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</si>
  <si>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</si>
  <si>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</si>
  <si>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</si>
  <si>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</si>
  <si>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</si>
  <si>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</si>
  <si>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</si>
  <si>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</si>
  <si>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</si>
  <si>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</si>
  <si>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</si>
  <si>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</si>
  <si>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</si>
  <si>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</si>
  <si>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</si>
  <si>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</si>
  <si>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</si>
  <si>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</si>
  <si>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</si>
  <si>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</si>
  <si>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</si>
  <si>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</si>
  <si>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</si>
  <si>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</si>
  <si>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</si>
  <si>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</si>
  <si>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</si>
  <si>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</si>
  <si>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</si>
  <si>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</si>
  <si>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</si>
  <si>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</si>
  <si>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</si>
  <si>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</si>
  <si>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</si>
  <si>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</si>
  <si>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</si>
  <si>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</si>
  <si>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</si>
  <si>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</si>
  <si>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</si>
  <si>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</si>
  <si>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</si>
  <si>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</si>
  <si>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</si>
  <si>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</si>
  <si>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</si>
  <si>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</si>
  <si>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</si>
  <si>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</si>
  <si>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</si>
  <si>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</si>
  <si>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</si>
  <si>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</si>
  <si>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</si>
  <si>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Tipos de Iteraciones</t>
  </si>
  <si>
    <t xml:space="preserve">Propuesta </t>
  </si>
  <si>
    <t>Plan de Trabajo (Incepción)</t>
  </si>
  <si>
    <t>Elaboración - análisis</t>
  </si>
  <si>
    <t>Elaboración - diseño</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</si>
  <si>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</si>
  <si>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</si>
  <si>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</si>
  <si>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</si>
  <si>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</si>
  <si>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</si>
  <si>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</si>
  <si>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</si>
  <si>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</si>
  <si>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</si>
  <si>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</si>
  <si>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</si>
  <si>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</si>
  <si>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</si>
  <si>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</si>
  <si>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</si>
  <si>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</si>
  <si>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</si>
  <si>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</si>
  <si>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</si>
  <si>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</si>
  <si>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</si>
  <si>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</si>
  <si>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</si>
  <si>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</si>
  <si>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</si>
  <si>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</si>
  <si>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</si>
  <si>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</si>
  <si>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</si>
  <si>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</si>
  <si>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</si>
  <si>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</si>
  <si>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</si>
  <si>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</si>
  <si>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</si>
  <si>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Construcción</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</si>
  <si>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</si>
  <si>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</si>
  <si>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</si>
  <si>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</si>
  <si>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</si>
  <si>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</si>
  <si>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</si>
  <si>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</si>
  <si>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</si>
  <si>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</si>
  <si>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</si>
  <si>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</si>
  <si>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</si>
  <si>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</si>
  <si>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</si>
  <si>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</si>
  <si>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</si>
  <si>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</si>
  <si>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</si>
  <si>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</si>
  <si>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</si>
  <si>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</si>
  <si>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</si>
  <si>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</si>
  <si>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Project Charter (Opcional)
Acta de comité Operativo (Formaliza la solicitud de Elab de Propuesta)
Documentación del Proceso de negocio 
• Procesos a implementar (Validados)
• Procedimientos (Validados)
• Marco Legal (Vigente)
• Formatos de Plantillas(Validados)</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</si>
  <si>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</si>
  <si>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</si>
  <si>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</si>
  <si>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</si>
  <si>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</si>
  <si>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</si>
  <si>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</si>
  <si>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</si>
  <si>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</si>
  <si>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</si>
  <si>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</si>
  <si>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</si>
  <si>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</si>
  <si>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</si>
  <si>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</si>
  <si>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</si>
  <si>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</si>
  <si>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</si>
  <si>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</si>
  <si>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</si>
  <si>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</si>
  <si>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</si>
  <si>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</si>
  <si>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</si>
  <si>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</si>
  <si>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</si>
  <si>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</si>
  <si>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</si>
  <si>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</si>
  <si>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</si>
  <si>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</si>
  <si>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</si>
  <si>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</si>
  <si>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</si>
  <si>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</si>
  <si>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</si>
  <si>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</si>
  <si>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</si>
  <si>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</si>
  <si>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</si>
  <si>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</si>
  <si>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</si>
  <si>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</si>
  <si>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</si>
  <si>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</si>
  <si>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</si>
  <si>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</si>
  <si>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</si>
  <si>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</si>
  <si>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</si>
  <si>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</si>
  <si>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</si>
  <si>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</si>
  <si>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</si>
  <si>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</si>
  <si>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</si>
  <si>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</si>
  <si>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</si>
  <si>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</si>
  <si>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</si>
  <si>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</si>
  <si>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</si>
  <si>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</si>
  <si>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</si>
  <si>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</si>
  <si>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</si>
  <si>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</si>
  <si>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</si>
  <si>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</si>
  <si>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</si>
  <si>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</si>
  <si>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</si>
  <si>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</si>
  <si>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</si>
  <si>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</si>
  <si>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</si>
  <si>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</si>
  <si>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</si>
  <si>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</si>
  <si>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</si>
  <si>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</si>
  <si>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</si>
  <si>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</si>
  <si>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</si>
  <si>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En revisión</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</si>
  <si>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</si>
  <si>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</si>
  <si>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</si>
  <si>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</si>
  <si>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</si>
  <si>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</si>
  <si>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</si>
  <si>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</si>
  <si>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SOFTPEDAJE</t>
  </si>
  <si>
    <t>Analista de calidad</t>
  </si>
  <si>
    <t>Analista</t>
  </si>
  <si>
    <t>Jefe de Proyecto</t>
  </si>
  <si>
    <t>Version en plantilla</t>
  </si>
  <si>
    <t>Version:0.1</t>
  </si>
  <si>
    <t>Carlos Castro (Analista de calidad)</t>
  </si>
  <si>
    <t>Jorge Solis (Analista)</t>
  </si>
  <si>
    <t>LOGO</t>
  </si>
  <si>
    <t>Fecha Efectiva:06/07/2016</t>
  </si>
</sst>
</file>

<file path=xl/styles.xml><?xml version="1.0" encoding="utf-8"?>
<styleSheet xmlns="http://schemas.openxmlformats.org/spreadsheetml/2006/main">
  <numFmts count="3">
    <numFmt numFmtId="191" formatCode="_(&quot;$&quot;* #,##0.00_);_(&quot;$&quot;* \(#,##0.00\);_(&quot;$&quot;* &quot;-&quot;??_);_(@_)"/>
    <numFmt numFmtId="219" formatCode="0.0"/>
    <numFmt numFmtId="220" formatCode="dd/mm/yyyy;@"/>
  </numFmts>
  <fonts count="71">
    <font>
      <sz val="10"/>
      <name val="Arial"/>
    </font>
    <font>
      <sz val="10"/>
      <name val="Arial"/>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sz val="8"/>
      <color indexed="81"/>
      <name val="Tahoma"/>
      <family val="2"/>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top/>
      <bottom/>
      <diagonal/>
    </border>
  </borders>
  <cellStyleXfs count="51">
    <xf numFmtId="0" fontId="0" fillId="0" borderId="0"/>
    <xf numFmtId="0" fontId="43" fillId="2" borderId="0" applyNumberFormat="0" applyBorder="0" applyAlignment="0" applyProtection="0"/>
    <xf numFmtId="0" fontId="43" fillId="3" borderId="0" applyNumberFormat="0" applyBorder="0" applyAlignment="0" applyProtection="0"/>
    <xf numFmtId="0" fontId="43" fillId="4" borderId="0" applyNumberFormat="0" applyBorder="0" applyAlignment="0" applyProtection="0"/>
    <xf numFmtId="0" fontId="43" fillId="2" borderId="0" applyNumberFormat="0" applyBorder="0" applyAlignment="0" applyProtection="0"/>
    <xf numFmtId="0" fontId="43" fillId="5" borderId="0" applyNumberFormat="0" applyBorder="0" applyAlignment="0" applyProtection="0"/>
    <xf numFmtId="0" fontId="43" fillId="3" borderId="0" applyNumberFormat="0" applyBorder="0" applyAlignment="0" applyProtection="0"/>
    <xf numFmtId="0" fontId="43" fillId="6"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9" borderId="0" applyNumberFormat="0" applyBorder="0" applyAlignment="0" applyProtection="0"/>
    <xf numFmtId="0" fontId="43" fillId="3" borderId="0" applyNumberFormat="0" applyBorder="0" applyAlignment="0" applyProtection="0"/>
    <xf numFmtId="0" fontId="44" fillId="10" borderId="0" applyNumberFormat="0" applyBorder="0" applyAlignment="0" applyProtection="0"/>
    <xf numFmtId="0" fontId="44" fillId="7" borderId="0" applyNumberFormat="0" applyBorder="0" applyAlignment="0" applyProtection="0"/>
    <xf numFmtId="0" fontId="44" fillId="8" borderId="0" applyNumberFormat="0" applyBorder="0" applyAlignment="0" applyProtection="0"/>
    <xf numFmtId="0" fontId="44" fillId="6" borderId="0" applyNumberFormat="0" applyBorder="0" applyAlignment="0" applyProtection="0"/>
    <xf numFmtId="0" fontId="44" fillId="10" borderId="0" applyNumberFormat="0" applyBorder="0" applyAlignment="0" applyProtection="0"/>
    <xf numFmtId="0" fontId="44" fillId="3" borderId="0" applyNumberFormat="0" applyBorder="0" applyAlignment="0" applyProtection="0"/>
    <xf numFmtId="0" fontId="45" fillId="11" borderId="0" applyNumberFormat="0" applyBorder="0" applyAlignment="0" applyProtection="0"/>
    <xf numFmtId="0" fontId="46" fillId="2" borderId="1" applyNumberFormat="0" applyAlignment="0" applyProtection="0"/>
    <xf numFmtId="0" fontId="70" fillId="0" borderId="0"/>
    <xf numFmtId="0" fontId="13" fillId="0" borderId="0"/>
    <xf numFmtId="0" fontId="47" fillId="12" borderId="2" applyNumberFormat="0" applyAlignment="0" applyProtection="0"/>
    <xf numFmtId="0" fontId="48" fillId="0" borderId="3" applyNumberFormat="0" applyFill="0" applyAlignment="0" applyProtection="0"/>
    <xf numFmtId="0" fontId="49" fillId="0" borderId="0" applyNumberFormat="0" applyFill="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0" borderId="0" applyNumberFormat="0" applyBorder="0" applyAlignment="0" applyProtection="0"/>
    <xf numFmtId="0" fontId="44" fillId="16" borderId="0" applyNumberFormat="0" applyBorder="0" applyAlignment="0" applyProtection="0"/>
    <xf numFmtId="0" fontId="50" fillId="3" borderId="1" applyNumberFormat="0" applyAlignment="0" applyProtection="0"/>
    <xf numFmtId="0" fontId="2" fillId="0" borderId="0"/>
    <xf numFmtId="0" fontId="51" fillId="17" borderId="0" applyNumberFormat="0" applyBorder="0" applyAlignment="0" applyProtection="0"/>
    <xf numFmtId="191" fontId="1" fillId="0" borderId="0" applyFont="0" applyFill="0" applyBorder="0" applyAlignment="0" applyProtection="0"/>
    <xf numFmtId="0" fontId="52"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3" fillId="2" borderId="5" applyNumberFormat="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6" applyNumberFormat="0" applyFill="0" applyAlignment="0" applyProtection="0"/>
    <xf numFmtId="0" fontId="58" fillId="0" borderId="7" applyNumberFormat="0" applyFill="0" applyAlignment="0" applyProtection="0"/>
    <xf numFmtId="0" fontId="49" fillId="0" borderId="8" applyNumberFormat="0" applyFill="0" applyAlignment="0" applyProtection="0"/>
    <xf numFmtId="0" fontId="59" fillId="0" borderId="9" applyNumberFormat="0" applyFill="0" applyAlignment="0" applyProtection="0"/>
  </cellStyleXfs>
  <cellXfs count="316">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5" fillId="19" borderId="12" xfId="21" applyFont="1" applyFill="1" applyBorder="1" applyAlignment="1">
      <alignment horizontal="left"/>
    </xf>
    <xf numFmtId="0" fontId="0" fillId="0" borderId="0" xfId="21" applyFont="1" applyAlignment="1">
      <alignment horizontal="center" vertical="center" wrapText="1"/>
    </xf>
    <xf numFmtId="0" fontId="26" fillId="19" borderId="12" xfId="39" applyFont="1" applyFill="1" applyBorder="1" applyAlignment="1">
      <alignment horizontal="center" vertical="center" wrapText="1"/>
    </xf>
    <xf numFmtId="0" fontId="27"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30"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5"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2" fillId="21" borderId="12" xfId="21" applyFont="1" applyFill="1" applyBorder="1" applyAlignment="1">
      <alignment horizontal="center" vertical="center" wrapText="1"/>
    </xf>
    <xf numFmtId="0" fontId="33" fillId="21" borderId="16" xfId="33" applyFont="1" applyFill="1" applyBorder="1" applyAlignment="1" applyProtection="1">
      <alignment horizontal="center"/>
      <protection hidden="1"/>
    </xf>
    <xf numFmtId="0" fontId="33" fillId="21" borderId="13" xfId="33" applyFont="1" applyFill="1" applyBorder="1" applyAlignment="1" applyProtection="1">
      <alignment horizontal="center"/>
      <protection hidden="1"/>
    </xf>
    <xf numFmtId="0" fontId="28" fillId="19" borderId="15" xfId="39" applyFont="1" applyFill="1" applyBorder="1" applyAlignment="1">
      <alignment horizontal="center" vertical="center" wrapText="1"/>
    </xf>
    <xf numFmtId="14" fontId="28"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2"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3"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2"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3"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1"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6" fillId="18" borderId="12" xfId="21" applyFont="1" applyFill="1" applyBorder="1" applyAlignment="1">
      <alignment horizontal="left" vertical="center" wrapText="1"/>
    </xf>
    <xf numFmtId="0" fontId="30" fillId="19" borderId="13" xfId="21" applyFont="1" applyFill="1" applyBorder="1" applyAlignment="1"/>
    <xf numFmtId="0" fontId="30"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7"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7" fillId="19" borderId="22" xfId="21" applyFont="1" applyFill="1" applyBorder="1" applyAlignment="1">
      <alignment wrapText="1"/>
    </xf>
    <xf numFmtId="0" fontId="2" fillId="0" borderId="0" xfId="21" applyFont="1"/>
    <xf numFmtId="0" fontId="38" fillId="0" borderId="0" xfId="21" applyNumberFormat="1" applyFont="1" applyAlignment="1">
      <alignment horizontal="right"/>
    </xf>
    <xf numFmtId="0" fontId="38"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8" fillId="0" borderId="28" xfId="21" applyFont="1" applyBorder="1" applyAlignment="1">
      <alignment horizontal="left"/>
    </xf>
    <xf numFmtId="0" fontId="0" fillId="0" borderId="0" xfId="21" applyFont="1" applyAlignment="1">
      <alignment horizontal="left"/>
    </xf>
    <xf numFmtId="0" fontId="39" fillId="0" borderId="29" xfId="21" applyFont="1" applyBorder="1" applyAlignment="1">
      <alignment horizontal="right"/>
    </xf>
    <xf numFmtId="0" fontId="39" fillId="0" borderId="29" xfId="21" applyNumberFormat="1" applyFont="1" applyBorder="1" applyAlignment="1">
      <alignment horizontal="right"/>
    </xf>
    <xf numFmtId="0" fontId="39" fillId="0" borderId="30" xfId="21" applyFont="1" applyBorder="1" applyAlignment="1">
      <alignment horizontal="left"/>
    </xf>
    <xf numFmtId="0" fontId="39" fillId="0" borderId="31" xfId="21" applyNumberFormat="1" applyFont="1" applyBorder="1" applyAlignment="1">
      <alignment horizontal="right"/>
    </xf>
    <xf numFmtId="0" fontId="40" fillId="0" borderId="12" xfId="21" applyFont="1" applyBorder="1" applyAlignment="1">
      <alignment vertical="center" wrapText="1"/>
    </xf>
    <xf numFmtId="0" fontId="41"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5" fillId="19" borderId="13" xfId="22" applyFont="1" applyFill="1" applyBorder="1" applyAlignment="1">
      <alignment horizontal="left" vertical="center" wrapText="1"/>
    </xf>
    <xf numFmtId="0" fontId="38" fillId="18" borderId="12" xfId="40" applyFont="1" applyFill="1" applyBorder="1" applyAlignment="1">
      <alignment horizontal="center"/>
    </xf>
    <xf numFmtId="10" fontId="38" fillId="18" borderId="12" xfId="40" applyNumberFormat="1" applyFont="1" applyFill="1" applyBorder="1" applyAlignment="1">
      <alignment horizontal="center"/>
    </xf>
    <xf numFmtId="0" fontId="25" fillId="19" borderId="13" xfId="40" applyFont="1" applyFill="1" applyBorder="1" applyAlignment="1">
      <alignment horizontal="left"/>
    </xf>
    <xf numFmtId="10" fontId="60" fillId="18" borderId="12" xfId="40" applyNumberFormat="1" applyFont="1" applyFill="1" applyBorder="1" applyAlignment="1">
      <alignment horizontal="center"/>
    </xf>
    <xf numFmtId="0" fontId="25" fillId="19" borderId="13" xfId="21" applyFont="1" applyFill="1" applyBorder="1" applyAlignment="1">
      <alignment horizontal="left" vertical="center" wrapText="1"/>
    </xf>
    <xf numFmtId="0" fontId="38" fillId="18" borderId="12" xfId="21" applyFont="1" applyFill="1" applyBorder="1" applyAlignment="1">
      <alignment horizontal="center"/>
    </xf>
    <xf numFmtId="10" fontId="38" fillId="18" borderId="12" xfId="21" applyNumberFormat="1" applyFont="1" applyFill="1" applyBorder="1" applyAlignment="1">
      <alignment horizontal="center"/>
    </xf>
    <xf numFmtId="0" fontId="25" fillId="19" borderId="13" xfId="21" applyFont="1" applyFill="1" applyBorder="1" applyAlignment="1">
      <alignment horizontal="left"/>
    </xf>
    <xf numFmtId="0" fontId="62" fillId="19" borderId="12" xfId="21" applyFont="1" applyFill="1" applyBorder="1" applyAlignment="1">
      <alignment horizontal="center"/>
    </xf>
    <xf numFmtId="0" fontId="2" fillId="18" borderId="0" xfId="21" applyFont="1" applyFill="1" applyBorder="1"/>
    <xf numFmtId="0" fontId="42" fillId="19" borderId="32" xfId="21" applyFont="1" applyFill="1" applyBorder="1" applyAlignment="1">
      <alignment horizontal="left" vertical="center" wrapText="1"/>
    </xf>
    <xf numFmtId="0" fontId="42" fillId="19" borderId="33" xfId="21" applyFont="1" applyFill="1" applyBorder="1" applyAlignment="1">
      <alignment horizontal="left" vertical="center" wrapText="1"/>
    </xf>
    <xf numFmtId="0" fontId="35" fillId="19" borderId="34" xfId="21" applyFont="1" applyFill="1" applyBorder="1" applyAlignment="1">
      <alignment horizontal="center"/>
    </xf>
    <xf numFmtId="0" fontId="35" fillId="19" borderId="35" xfId="21" applyFont="1" applyFill="1" applyBorder="1" applyAlignment="1">
      <alignment horizontal="center"/>
    </xf>
    <xf numFmtId="0" fontId="35"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3" fillId="0" borderId="38" xfId="21" applyFont="1" applyBorder="1" applyAlignment="1">
      <alignment horizontal="right"/>
    </xf>
    <xf numFmtId="0" fontId="2" fillId="0" borderId="0" xfId="39" applyBorder="1" applyAlignment="1">
      <alignment horizontal="center"/>
    </xf>
    <xf numFmtId="0" fontId="26"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1" fillId="19" borderId="15" xfId="39" applyFont="1" applyFill="1" applyBorder="1" applyAlignment="1">
      <alignment horizontal="center" vertical="center" wrapText="1"/>
    </xf>
    <xf numFmtId="0" fontId="65" fillId="20" borderId="39" xfId="39" applyFont="1" applyFill="1" applyBorder="1" applyAlignment="1">
      <alignment horizontal="center"/>
    </xf>
    <xf numFmtId="0" fontId="65" fillId="20" borderId="40" xfId="39" applyFont="1" applyFill="1" applyBorder="1" applyAlignment="1">
      <alignment horizontal="center"/>
    </xf>
    <xf numFmtId="0" fontId="65" fillId="20" borderId="41" xfId="39" applyFont="1" applyFill="1" applyBorder="1" applyAlignment="1">
      <alignment horizontal="center"/>
    </xf>
    <xf numFmtId="0" fontId="65" fillId="20" borderId="34" xfId="39" applyFont="1" applyFill="1" applyBorder="1" applyAlignment="1">
      <alignment horizontal="center"/>
    </xf>
    <xf numFmtId="0" fontId="38" fillId="18" borderId="21" xfId="21" applyFont="1" applyFill="1" applyBorder="1" applyAlignment="1">
      <alignment horizontal="center" vertical="center" wrapText="1"/>
    </xf>
    <xf numFmtId="10" fontId="38" fillId="18" borderId="11" xfId="21" applyNumberFormat="1" applyFont="1" applyFill="1" applyBorder="1" applyAlignment="1">
      <alignment horizontal="center" vertical="center" wrapText="1"/>
    </xf>
    <xf numFmtId="10" fontId="66" fillId="20" borderId="12" xfId="39" applyNumberFormat="1" applyFont="1" applyFill="1" applyBorder="1" applyAlignment="1">
      <alignment horizontal="center"/>
    </xf>
    <xf numFmtId="0" fontId="38" fillId="18" borderId="12" xfId="21" applyFont="1" applyFill="1" applyBorder="1"/>
    <xf numFmtId="10" fontId="38" fillId="18" borderId="39" xfId="21" applyNumberFormat="1" applyFont="1" applyFill="1" applyBorder="1"/>
    <xf numFmtId="10" fontId="66" fillId="20" borderId="42" xfId="39" applyNumberFormat="1" applyFont="1" applyFill="1" applyBorder="1" applyAlignment="1">
      <alignment horizontal="center"/>
    </xf>
    <xf numFmtId="0" fontId="38" fillId="18" borderId="42" xfId="21" applyFont="1" applyFill="1" applyBorder="1"/>
    <xf numFmtId="10" fontId="38" fillId="18" borderId="43" xfId="21" applyNumberFormat="1" applyFont="1" applyFill="1" applyBorder="1"/>
    <xf numFmtId="10" fontId="0" fillId="18" borderId="44" xfId="21" applyNumberFormat="1" applyFont="1" applyFill="1" applyBorder="1"/>
    <xf numFmtId="10" fontId="22" fillId="20" borderId="35" xfId="39" applyNumberFormat="1" applyFont="1" applyFill="1" applyBorder="1" applyAlignment="1">
      <alignment horizontal="center"/>
    </xf>
    <xf numFmtId="0" fontId="0" fillId="18" borderId="35" xfId="21" applyFont="1" applyFill="1" applyBorder="1"/>
    <xf numFmtId="0" fontId="67" fillId="0" borderId="0" xfId="37" applyFont="1" applyAlignment="1">
      <alignment horizontal="left" vertical="top"/>
    </xf>
    <xf numFmtId="0" fontId="68" fillId="0" borderId="0" xfId="37" applyFont="1" applyAlignment="1">
      <alignment vertical="top" wrapText="1"/>
    </xf>
    <xf numFmtId="0" fontId="1" fillId="0" borderId="0" xfId="37" applyFont="1"/>
    <xf numFmtId="0" fontId="68"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9"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7" fillId="0" borderId="0" xfId="37" applyFont="1" applyAlignment="1">
      <alignment horizontal="left"/>
    </xf>
    <xf numFmtId="0" fontId="1" fillId="0" borderId="0" xfId="37" applyFont="1" applyBorder="1" applyAlignment="1">
      <alignment horizontal="center" vertical="center" wrapText="1"/>
    </xf>
    <xf numFmtId="0" fontId="13" fillId="0" borderId="12" xfId="39" applyFont="1" applyBorder="1" applyAlignment="1">
      <alignment vertical="top"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219" fontId="14" fillId="0" borderId="12" xfId="33" applyNumberFormat="1" applyFont="1" applyFill="1" applyBorder="1" applyAlignment="1">
      <alignment horizontal="center" vertical="center"/>
    </xf>
    <xf numFmtId="220"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4" fillId="18" borderId="12" xfId="35" applyNumberFormat="1" applyFont="1" applyFill="1" applyBorder="1" applyAlignment="1">
      <alignment horizontal="center"/>
    </xf>
    <xf numFmtId="0" fontId="26" fillId="19" borderId="46" xfId="39" applyFont="1" applyFill="1" applyBorder="1" applyAlignment="1">
      <alignment horizontal="center" vertical="center" wrapText="1"/>
    </xf>
    <xf numFmtId="0" fontId="63" fillId="18" borderId="12" xfId="21" applyFont="1" applyFill="1" applyBorder="1" applyAlignment="1">
      <alignment horizontal="center"/>
    </xf>
    <xf numFmtId="0" fontId="63" fillId="18" borderId="12" xfId="21" applyFont="1" applyFill="1" applyBorder="1" applyAlignment="1">
      <alignment horizontal="left" indent="1"/>
    </xf>
    <xf numFmtId="14" fontId="63" fillId="18" borderId="12" xfId="21" applyNumberFormat="1" applyFont="1" applyFill="1" applyBorder="1" applyAlignment="1">
      <alignment horizontal="left" indent="1"/>
    </xf>
    <xf numFmtId="0" fontId="0" fillId="19" borderId="0" xfId="21" applyFont="1" applyFill="1"/>
    <xf numFmtId="0" fontId="38" fillId="18" borderId="47" xfId="21" applyFont="1" applyFill="1" applyBorder="1"/>
    <xf numFmtId="0" fontId="38"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8" fillId="18" borderId="16" xfId="21" applyFont="1" applyFill="1" applyBorder="1"/>
    <xf numFmtId="0" fontId="38"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0" fillId="0" borderId="12" xfId="21" applyFont="1" applyBorder="1" applyAlignment="1">
      <alignment horizontal="left" wrapText="1" inden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26" fillId="18" borderId="18" xfId="21" applyFont="1" applyFill="1" applyBorder="1" applyAlignment="1">
      <alignment horizontal="center" vertical="center" wrapText="1"/>
    </xf>
    <xf numFmtId="0" fontId="26" fillId="18" borderId="21" xfId="21" applyFont="1" applyFill="1" applyBorder="1" applyAlignment="1">
      <alignment horizontal="center" vertical="center" wrapText="1"/>
    </xf>
    <xf numFmtId="0" fontId="26" fillId="18" borderId="13" xfId="21" applyFont="1" applyFill="1" applyBorder="1" applyAlignment="1">
      <alignment horizontal="center" vertical="center" wrapText="1"/>
    </xf>
    <xf numFmtId="0" fontId="26" fillId="18" borderId="10" xfId="21" applyFont="1" applyFill="1" applyBorder="1" applyAlignment="1">
      <alignment horizontal="center" vertical="center" wrapText="1"/>
    </xf>
    <xf numFmtId="0" fontId="26" fillId="18" borderId="11" xfId="21" applyFont="1" applyFill="1" applyBorder="1" applyAlignment="1">
      <alignment horizontal="center" vertical="center" wrapText="1"/>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13"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6" fillId="18" borderId="12"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1" fillId="0" borderId="12" xfId="21" applyFont="1" applyBorder="1" applyAlignment="1">
      <alignment horizontal="left" wrapText="1" indent="1"/>
    </xf>
    <xf numFmtId="0" fontId="1" fillId="0" borderId="0" xfId="37" applyFont="1" applyAlignment="1">
      <alignment horizontal="left" wrapText="1"/>
    </xf>
    <xf numFmtId="0" fontId="13"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3" fillId="0" borderId="0" xfId="39" applyFont="1" applyBorder="1" applyAlignment="1">
      <alignment horizontal="center"/>
    </xf>
    <xf numFmtId="0" fontId="2" fillId="0" borderId="0" xfId="39"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6" fillId="19" borderId="53" xfId="39" applyFont="1" applyFill="1" applyBorder="1" applyAlignment="1">
      <alignment horizontal="center" vertical="center" wrapText="1"/>
    </xf>
    <xf numFmtId="0" fontId="26"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6" fillId="19" borderId="56" xfId="39" applyFont="1" applyFill="1" applyBorder="1" applyAlignment="1">
      <alignment horizontal="center" vertical="center" wrapText="1"/>
    </xf>
    <xf numFmtId="0" fontId="26" fillId="19" borderId="18" xfId="39" applyFont="1" applyFill="1" applyBorder="1" applyAlignment="1">
      <alignment horizontal="center" vertical="center" wrapText="1"/>
    </xf>
    <xf numFmtId="0" fontId="26" fillId="19" borderId="57" xfId="39" applyFont="1" applyFill="1" applyBorder="1" applyAlignment="1">
      <alignment horizontal="center" vertical="center" wrapText="1"/>
    </xf>
    <xf numFmtId="0" fontId="29" fillId="19" borderId="24" xfId="39" applyFont="1" applyFill="1" applyBorder="1" applyAlignment="1">
      <alignment horizontal="center" vertical="center" wrapText="1"/>
    </xf>
    <xf numFmtId="0" fontId="29" fillId="19" borderId="22" xfId="39" applyFont="1" applyFill="1" applyBorder="1" applyAlignment="1">
      <alignment horizontal="center" vertical="center" wrapText="1"/>
    </xf>
    <xf numFmtId="0" fontId="29" fillId="19" borderId="23" xfId="39" applyFont="1" applyFill="1" applyBorder="1" applyAlignment="1">
      <alignment horizontal="center" vertical="center" wrapText="1"/>
    </xf>
    <xf numFmtId="0" fontId="31" fillId="19" borderId="50" xfId="39" applyFont="1" applyFill="1" applyBorder="1" applyAlignment="1">
      <alignment horizontal="center" vertical="center" wrapText="1"/>
    </xf>
    <xf numFmtId="0" fontId="31" fillId="19" borderId="51" xfId="39" applyFont="1" applyFill="1" applyBorder="1" applyAlignment="1">
      <alignment horizontal="center" vertical="center" wrapText="1"/>
    </xf>
    <xf numFmtId="0" fontId="31" fillId="19" borderId="52" xfId="39" applyFont="1" applyFill="1" applyBorder="1" applyAlignment="1">
      <alignment horizontal="center" vertical="center" wrapText="1"/>
    </xf>
    <xf numFmtId="9" fontId="38" fillId="18" borderId="12" xfId="21" applyNumberFormat="1" applyFont="1" applyFill="1" applyBorder="1" applyAlignment="1">
      <alignment horizontal="center"/>
    </xf>
    <xf numFmtId="0" fontId="30" fillId="19" borderId="13" xfId="21" applyFont="1" applyFill="1" applyBorder="1" applyAlignment="1">
      <alignment horizontal="left"/>
    </xf>
    <xf numFmtId="0" fontId="30" fillId="19" borderId="10" xfId="21" applyFont="1" applyFill="1" applyBorder="1" applyAlignment="1">
      <alignment horizontal="left"/>
    </xf>
    <xf numFmtId="0" fontId="30"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25" fillId="19" borderId="13" xfId="21" applyFont="1" applyFill="1" applyBorder="1" applyAlignment="1">
      <alignment horizontal="center" vertical="center" wrapText="1"/>
    </xf>
    <xf numFmtId="0" fontId="25" fillId="19" borderId="11" xfId="21" applyFont="1" applyFill="1" applyBorder="1" applyAlignment="1">
      <alignment horizontal="center" vertical="center" wrapText="1"/>
    </xf>
    <xf numFmtId="0" fontId="26" fillId="19" borderId="12" xfId="39" applyFont="1" applyFill="1" applyBorder="1" applyAlignment="1">
      <alignment horizontal="center" vertical="center" wrapText="1"/>
    </xf>
    <xf numFmtId="0" fontId="26" fillId="19" borderId="15" xfId="39" applyFont="1" applyFill="1" applyBorder="1" applyAlignment="1">
      <alignment horizontal="center" vertical="center" wrapText="1"/>
    </xf>
    <xf numFmtId="0" fontId="26" fillId="19" borderId="13" xfId="39" applyFont="1" applyFill="1" applyBorder="1" applyAlignment="1">
      <alignment horizontal="center" vertical="center" wrapText="1"/>
    </xf>
    <xf numFmtId="0" fontId="26" fillId="19" borderId="10" xfId="39" applyFont="1" applyFill="1" applyBorder="1" applyAlignment="1">
      <alignment horizontal="center" vertical="center" wrapText="1"/>
    </xf>
    <xf numFmtId="0" fontId="26" fillId="19" borderId="11" xfId="39" applyFont="1" applyFill="1" applyBorder="1" applyAlignment="1">
      <alignment horizontal="center" vertical="center" wrapText="1"/>
    </xf>
    <xf numFmtId="0" fontId="26" fillId="19" borderId="12" xfId="21" applyFont="1" applyFill="1" applyBorder="1" applyAlignment="1">
      <alignment horizontal="center"/>
    </xf>
    <xf numFmtId="0" fontId="28" fillId="19" borderId="12" xfId="39" applyFont="1" applyFill="1" applyBorder="1" applyAlignment="1">
      <alignment horizontal="center" vertical="center" wrapText="1"/>
    </xf>
    <xf numFmtId="0" fontId="28" fillId="19" borderId="15" xfId="39" applyFont="1" applyFill="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34" fillId="19" borderId="24" xfId="21" applyFont="1" applyFill="1" applyBorder="1" applyAlignment="1">
      <alignment horizontal="left"/>
    </xf>
    <xf numFmtId="0" fontId="34" fillId="19" borderId="22" xfId="21" applyFont="1" applyFill="1" applyBorder="1" applyAlignment="1">
      <alignment horizontal="left"/>
    </xf>
    <xf numFmtId="0" fontId="61" fillId="18" borderId="13" xfId="22" applyFont="1" applyFill="1" applyBorder="1" applyAlignment="1">
      <alignment horizontal="center"/>
    </xf>
    <xf numFmtId="0" fontId="61" fillId="18" borderId="10" xfId="22" applyFont="1" applyFill="1" applyBorder="1" applyAlignment="1">
      <alignment horizontal="center"/>
    </xf>
    <xf numFmtId="0" fontId="61" fillId="18" borderId="11" xfId="22" applyFont="1" applyFill="1" applyBorder="1" applyAlignment="1">
      <alignment horizontal="center"/>
    </xf>
    <xf numFmtId="0" fontId="29" fillId="18" borderId="13" xfId="22" applyFont="1" applyFill="1" applyBorder="1" applyAlignment="1">
      <alignment horizontal="center"/>
    </xf>
    <xf numFmtId="0" fontId="29" fillId="18" borderId="10" xfId="22" applyFont="1" applyFill="1" applyBorder="1" applyAlignment="1">
      <alignment horizontal="center"/>
    </xf>
    <xf numFmtId="0" fontId="29" fillId="18" borderId="11" xfId="22" applyFont="1" applyFill="1" applyBorder="1" applyAlignment="1">
      <alignment horizontal="center"/>
    </xf>
    <xf numFmtId="0" fontId="3" fillId="19" borderId="12" xfId="21" applyFont="1" applyFill="1" applyBorder="1" applyAlignment="1">
      <alignment horizontal="center"/>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1" xfId="47" builtinId="16" customBuiltin="1"/>
    <cellStyle name="Título 2" xfId="48" builtinId="17" customBuiltin="1"/>
    <cellStyle name="Título 3" xfId="49" builtinId="18" customBuiltin="1"/>
    <cellStyle name="Total" xfId="50" builtinId="25" customBuiltin="1"/>
  </cellStyles>
  <dxfs count="38">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c:lang val="es-ES"/>
  <c:roundedCorners val="1"/>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48"/>
          <c:y val="3.8194301799231618E-2"/>
        </c:manualLayout>
      </c:layout>
      <c:spPr>
        <a:noFill/>
        <a:ln w="25400">
          <a:noFill/>
        </a:ln>
      </c:spPr>
    </c:title>
    <c:plotArea>
      <c:layout>
        <c:manualLayout>
          <c:layoutTarget val="inner"/>
          <c:xMode val="edge"/>
          <c:yMode val="edge"/>
          <c:x val="0.1067961888302033"/>
          <c:y val="0.23550807966796758"/>
          <c:w val="0.87240003602854377"/>
          <c:h val="0.51811777526952862"/>
        </c:manualLayout>
      </c:layout>
      <c:barChart>
        <c:barDir val="col"/>
        <c:grouping val="clustered"/>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dLbls>
            <c:spPr>
              <a:noFill/>
              <a:ln w="25400">
                <a:noFill/>
              </a:ln>
            </c:spPr>
            <c:txPr>
              <a:bodyPr/>
              <a:lstStyle/>
              <a:p>
                <a:pPr>
                  <a:defRPr sz="1000" b="0" i="0" u="none" strike="noStrike" baseline="0">
                    <a:solidFill>
                      <a:srgbClr val="000000"/>
                    </a:solidFill>
                    <a:latin typeface="Arial"/>
                    <a:ea typeface="Arial"/>
                    <a:cs typeface="Arial"/>
                  </a:defRPr>
                </a:pPr>
                <a:endParaRPr lang="es-ES"/>
              </a:p>
            </c:txPr>
            <c:showVal val="1"/>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ser>
        <c:dLbls>
          <c:showVal val="1"/>
        </c:dLbls>
        <c:axId val="71132672"/>
        <c:axId val="71134208"/>
      </c:barChart>
      <c:lineChart>
        <c:grouping val="standard"/>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ES"/>
              </a:p>
            </c:txPr>
            <c:dLblPos val="b"/>
            <c:showVal val="1"/>
          </c:dLbls>
          <c:val>
            <c:numRef>
              <c:f>Bitácora!$H$14:$H$17</c:f>
              <c:numCache>
                <c:formatCode>0.00%</c:formatCode>
                <c:ptCount val="4"/>
                <c:pt idx="0">
                  <c:v>0.86956521739130432</c:v>
                </c:pt>
                <c:pt idx="1">
                  <c:v>0.89473684210526316</c:v>
                </c:pt>
                <c:pt idx="2">
                  <c:v>0.89473684210526316</c:v>
                </c:pt>
              </c:numCache>
            </c:numRef>
          </c:val>
        </c:ser>
        <c:dLbls>
          <c:showVal val="1"/>
        </c:dLbls>
        <c:marker val="1"/>
        <c:axId val="71156480"/>
        <c:axId val="71158016"/>
      </c:lineChart>
      <c:catAx>
        <c:axId val="71132672"/>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134208"/>
        <c:crosses val="autoZero"/>
        <c:lblAlgn val="ctr"/>
        <c:lblOffset val="100"/>
        <c:tickLblSkip val="1"/>
        <c:tickMarkSkip val="1"/>
      </c:catAx>
      <c:valAx>
        <c:axId val="71134208"/>
        <c:scaling>
          <c:orientation val="minMax"/>
        </c:scaling>
        <c:axPos val="l"/>
        <c:numFmt formatCode="0.00%"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132672"/>
        <c:crosses val="autoZero"/>
        <c:crossBetween val="between"/>
      </c:valAx>
      <c:catAx>
        <c:axId val="71156480"/>
        <c:scaling>
          <c:orientation val="minMax"/>
        </c:scaling>
        <c:delete val="1"/>
        <c:axPos val="b"/>
        <c:tickLblPos val="none"/>
        <c:crossAx val="71158016"/>
        <c:crosses val="autoZero"/>
        <c:lblAlgn val="ctr"/>
        <c:lblOffset val="100"/>
      </c:catAx>
      <c:valAx>
        <c:axId val="71158016"/>
        <c:scaling>
          <c:orientation val="minMax"/>
        </c:scaling>
        <c:delete val="1"/>
        <c:axPos val="l"/>
        <c:numFmt formatCode="0.00%" sourceLinked="1"/>
        <c:tickLblPos val="none"/>
        <c:crossAx val="71156480"/>
        <c:crosses val="autoZero"/>
        <c:crossBetween val="between"/>
      </c:valAx>
      <c:spPr>
        <a:noFill/>
        <a:ln w="25400">
          <a:noFill/>
        </a:ln>
      </c:spPr>
    </c:plotArea>
    <c:legend>
      <c:legendPos val="b"/>
      <c:layout>
        <c:manualLayout>
          <c:xMode val="edge"/>
          <c:yMode val="edge"/>
          <c:wMode val="edge"/>
          <c:hMode val="edge"/>
          <c:x val="0.33564522881241787"/>
          <c:y val="0.90217695614135185"/>
          <c:w val="0.71844718439321298"/>
          <c:h val="0.98188748145612226"/>
        </c:manualLayout>
      </c:layout>
      <c:spPr>
        <a:noFill/>
        <a:ln w="25400">
          <a:noFill/>
        </a:ln>
      </c:spPr>
      <c:txPr>
        <a:bodyPr/>
        <a:lstStyle/>
        <a:p>
          <a:pPr>
            <a:defRPr sz="920" b="0" i="0" u="none" strike="noStrike" baseline="0">
              <a:solidFill>
                <a:srgbClr val="000000"/>
              </a:solidFill>
              <a:latin typeface="Arial"/>
              <a:ea typeface="Arial"/>
              <a:cs typeface="Arial"/>
            </a:defRPr>
          </a:pPr>
          <a:endParaRPr lang="es-ES"/>
        </a:p>
      </c:txPr>
    </c:legend>
    <c:plotVisOnly val="1"/>
    <c:dispBlanksAs val="gap"/>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roundedCorners val="1"/>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33"/>
          <c:y val="3.8194358197338893E-2"/>
        </c:manualLayout>
      </c:layout>
      <c:spPr>
        <a:noFill/>
        <a:ln w="25400">
          <a:noFill/>
        </a:ln>
      </c:spPr>
    </c:title>
    <c:plotArea>
      <c:layout>
        <c:manualLayout>
          <c:layoutTarget val="inner"/>
          <c:xMode val="edge"/>
          <c:yMode val="edge"/>
          <c:x val="9.7744480518288546E-2"/>
          <c:y val="0.2113564668769716"/>
          <c:w val="0.88471286212707323"/>
          <c:h val="0.55835962145110407"/>
        </c:manualLayout>
      </c:layout>
      <c:barChart>
        <c:barDir val="col"/>
        <c:grouping val="clustered"/>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dPt>
            <c:idx val="1"/>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dPt>
          <c:dPt>
            <c:idx val="2"/>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dPt>
          <c:dPt>
            <c:idx val="3"/>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dPt>
          <c:dPt>
            <c:idx val="4"/>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dPt>
          <c:dLbls>
            <c:dLbl>
              <c:idx val="0"/>
              <c:layout>
                <c:manualLayout>
                  <c:x val="2.2222624160751015E-3"/>
                  <c:y val="-4.02960828634591E-2"/>
                </c:manualLayout>
              </c:layout>
              <c:dLblPos val="outEnd"/>
              <c:showVal val="1"/>
            </c:dLbl>
            <c:dLbl>
              <c:idx val="1"/>
              <c:layout>
                <c:manualLayout>
                  <c:x val="2.2722994277868738E-3"/>
                  <c:y val="-5.4153357013338614E-2"/>
                </c:manualLayout>
              </c:layout>
              <c:dLblPos val="outEnd"/>
              <c:showVal val="1"/>
            </c:dLbl>
            <c:dLbl>
              <c:idx val="2"/>
              <c:layout>
                <c:manualLayout>
                  <c:x val="3.9431941325188706E-3"/>
                  <c:y val="-3.8380486350878061E-2"/>
                </c:manualLayout>
              </c:layout>
              <c:dLblPos val="outEnd"/>
              <c:showVal val="1"/>
            </c:dLbl>
            <c:dLbl>
              <c:idx val="3"/>
              <c:layout>
                <c:manualLayout>
                  <c:x val="3.1078201060127631E-3"/>
                  <c:y val="-5.099878288084652E-2"/>
                </c:manualLayout>
              </c:layout>
              <c:dLblPos val="outEnd"/>
              <c:showVal val="1"/>
            </c:dLbl>
            <c:dLbl>
              <c:idx val="4"/>
              <c:layout>
                <c:manualLayout>
                  <c:x val="1.3867719162844983E-3"/>
                  <c:y val="-4.0746499747468468E-2"/>
                </c:manualLayout>
              </c:layout>
              <c:dLblPos val="outEnd"/>
              <c:showVal val="1"/>
            </c:dLbl>
            <c:dLbl>
              <c:idx val="5"/>
              <c:layout>
                <c:manualLayout>
                  <c:x val="1.4369404904982707E-3"/>
                  <c:y val="-4.1535060483370183E-2"/>
                </c:manualLayout>
              </c:layout>
              <c:dLblPos val="outEnd"/>
              <c:showVal val="1"/>
            </c:dLbl>
            <c:spPr>
              <a:noFill/>
              <a:ln w="25400">
                <a:noFill/>
              </a:ln>
            </c:spPr>
            <c:txPr>
              <a:bodyPr/>
              <a:lstStyle/>
              <a:p>
                <a:pPr>
                  <a:defRPr sz="1000" b="0" i="1" u="none" strike="noStrike" baseline="0">
                    <a:solidFill>
                      <a:srgbClr val="000000"/>
                    </a:solidFill>
                    <a:latin typeface="Arial"/>
                    <a:ea typeface="Arial"/>
                    <a:cs typeface="Arial"/>
                  </a:defRPr>
                </a:pPr>
                <a:endParaRPr lang="es-ES"/>
              </a:p>
            </c:txPr>
            <c:showVal val="1"/>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ser>
        <c:dLbls>
          <c:showVal val="1"/>
        </c:dLbls>
        <c:axId val="71592576"/>
        <c:axId val="71618944"/>
      </c:barChart>
      <c:catAx>
        <c:axId val="71592576"/>
        <c:scaling>
          <c:orientation val="minMax"/>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618944"/>
        <c:crosses val="autoZero"/>
        <c:lblAlgn val="ctr"/>
        <c:lblOffset val="100"/>
        <c:tickLblSkip val="1"/>
        <c:tickMarkSkip val="1"/>
      </c:catAx>
      <c:valAx>
        <c:axId val="71618944"/>
        <c:scaling>
          <c:orientation val="minMax"/>
        </c:scaling>
        <c:axPos val="l"/>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592576"/>
        <c:crosses val="autoZero"/>
        <c:crossBetween val="between"/>
      </c:valAx>
      <c:spPr>
        <a:noFill/>
        <a:ln w="25400">
          <a:noFill/>
        </a:ln>
      </c:spPr>
    </c:plotArea>
    <c:legend>
      <c:legendPos val="b"/>
      <c:layout>
        <c:manualLayout>
          <c:xMode val="edge"/>
          <c:yMode val="edge"/>
          <c:wMode val="edge"/>
          <c:hMode val="edge"/>
          <c:x val="0.28070214907347107"/>
          <c:y val="0.90851735015772872"/>
          <c:w val="0.7481212216893941"/>
          <c:h val="0.97791798107255523"/>
        </c:manualLayout>
      </c:layout>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ES"/>
        </a:p>
      </c:txPr>
    </c:legend>
    <c:plotVisOnly val="1"/>
    <c:dispBlanksAs val="gap"/>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roundedCorners val="1"/>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487"/>
          <c:y val="3.8327526132404179E-2"/>
        </c:manualLayout>
      </c:layout>
      <c:spPr>
        <a:noFill/>
        <a:ln w="25400">
          <a:noFill/>
        </a:ln>
      </c:spPr>
    </c:title>
    <c:plotArea>
      <c:layout>
        <c:manualLayout>
          <c:layoutTarget val="inner"/>
          <c:xMode val="edge"/>
          <c:yMode val="edge"/>
          <c:x val="0.15473902428658454"/>
          <c:y val="0.23344947735191637"/>
          <c:w val="0.81624835311173338"/>
          <c:h val="0.50871080139372826"/>
        </c:manualLayout>
      </c:layout>
      <c:barChart>
        <c:barDir val="col"/>
        <c:grouping val="percentStacked"/>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Val val="1"/>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Val val="1"/>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Val val="1"/>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ser>
        <c:dLbls>
          <c:showVal val="1"/>
        </c:dLbls>
        <c:overlap val="100"/>
        <c:axId val="71649920"/>
        <c:axId val="71680384"/>
      </c:barChart>
      <c:catAx>
        <c:axId val="71649920"/>
        <c:scaling>
          <c:orientation val="minMax"/>
        </c:scaling>
        <c:axPos val="b"/>
        <c:numFmt formatCode="General" sourceLinked="1"/>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
          </a:p>
        </c:txPr>
        <c:crossAx val="71680384"/>
        <c:crosses val="autoZero"/>
        <c:auto val="1"/>
        <c:lblAlgn val="ctr"/>
        <c:lblOffset val="100"/>
        <c:tickLblSkip val="1"/>
        <c:tickMarkSkip val="1"/>
      </c:catAx>
      <c:valAx>
        <c:axId val="71680384"/>
        <c:scaling>
          <c:orientation val="minMax"/>
        </c:scaling>
        <c:axPos val="l"/>
        <c:majorGridlines>
          <c:spPr>
            <a:ln w="3175">
              <a:solidFill>
                <a:srgbClr val="000000"/>
              </a:solidFill>
              <a:prstDash val="solid"/>
            </a:ln>
          </c:spPr>
        </c:majorGridlines>
        <c:numFmt formatCode="0%" sourceLinked="1"/>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
          </a:p>
        </c:txPr>
        <c:crossAx val="71649920"/>
        <c:crosses val="autoZero"/>
        <c:crossBetween val="between"/>
      </c:valAx>
      <c:spPr>
        <a:noFill/>
        <a:ln w="25400">
          <a:noFill/>
        </a:ln>
      </c:spPr>
    </c:plotArea>
    <c:legend>
      <c:legendPos val="r"/>
      <c:layout>
        <c:manualLayout>
          <c:xMode val="edge"/>
          <c:yMode val="edge"/>
          <c:wMode val="edge"/>
          <c:hMode val="edge"/>
          <c:x val="0.1934238007483107"/>
          <c:y val="0.85365853658536583"/>
          <c:w val="0.78723485483076705"/>
          <c:h val="0.93379790940766549"/>
        </c:manualLayout>
      </c:layout>
      <c:spPr>
        <a:noFill/>
        <a:ln w="25400">
          <a:noFill/>
        </a:ln>
      </c:spPr>
      <c:txPr>
        <a:bodyPr/>
        <a:lstStyle/>
        <a:p>
          <a:pPr>
            <a:defRPr sz="965" b="0" i="0" u="none" strike="noStrike" baseline="0">
              <a:solidFill>
                <a:srgbClr val="000000"/>
              </a:solidFill>
              <a:latin typeface="Arial"/>
              <a:ea typeface="Arial"/>
              <a:cs typeface="Arial"/>
            </a:defRPr>
          </a:pPr>
          <a:endParaRPr lang="es-ES"/>
        </a:p>
      </c:txPr>
    </c:legend>
    <c:plotVisOnly val="1"/>
    <c:dispBlanksAs val="gap"/>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E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plotArea>
      <c:layout>
        <c:manualLayout>
          <c:layoutTarget val="inner"/>
          <c:xMode val="edge"/>
          <c:yMode val="edge"/>
          <c:x val="6.2794396642584752E-2"/>
          <c:y val="6.1576428735506387E-2"/>
          <c:w val="0.76766149895559854"/>
          <c:h val="0.80049357356158302"/>
        </c:manualLayout>
      </c:layout>
      <c:barChart>
        <c:barDir val="col"/>
        <c:grouping val="stacked"/>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ser>
        <c:overlap val="100"/>
        <c:axId val="71701248"/>
        <c:axId val="71702784"/>
      </c:barChart>
      <c:catAx>
        <c:axId val="71701248"/>
        <c:scaling>
          <c:orientation val="minMax"/>
        </c:scaling>
        <c:axPos val="b"/>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71702784"/>
        <c:crosses val="autoZero"/>
        <c:auto val="1"/>
        <c:lblAlgn val="ctr"/>
        <c:lblOffset val="100"/>
        <c:tickLblSkip val="2"/>
        <c:tickMarkSkip val="1"/>
      </c:catAx>
      <c:valAx>
        <c:axId val="71702784"/>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71701248"/>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07"/>
          <c:w val="0.98744195437108817"/>
          <c:h val="0.50985273392550068"/>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xdr:cNvGrpSpPr>
          <a:grpSpLocks noRot="1"/>
        </xdr:cNvGrpSpPr>
      </xdr:nvGrpSpPr>
      <xdr:grpSpPr bwMode="auto">
        <a:xfrm>
          <a:off x="2095500" y="6638925"/>
          <a:ext cx="2886075" cy="0"/>
          <a:chOff x="385" y="754"/>
          <a:chExt cx="2177" cy="859"/>
        </a:xfrm>
      </xdr:grpSpPr>
      <xdr:sp macro="" textlink="">
        <xdr:nvSpPr>
          <xdr:cNvPr id="15362" name="Rectangle 2"/>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1"/>
  <dimension ref="B2:H7"/>
  <sheetViews>
    <sheetView showGridLines="0" tabSelected="1" workbookViewId="0">
      <selection activeCell="D5" sqref="D5"/>
    </sheetView>
  </sheetViews>
  <sheetFormatPr baseColWidth="10" defaultRowHeight="12"/>
  <cols>
    <col min="1" max="1" width="5.5703125" style="23" customWidth="1"/>
    <col min="2" max="2" width="5.28515625" style="23" customWidth="1"/>
    <col min="3" max="3" width="7.5703125" style="23" customWidth="1"/>
    <col min="4" max="4" width="11.42578125" style="23" customWidth="1"/>
    <col min="5" max="5" width="22.7109375" style="23" customWidth="1"/>
    <col min="6" max="6" width="34.5703125" style="23" customWidth="1"/>
    <col min="7" max="7" width="11.42578125" style="23" customWidth="1"/>
    <col min="8" max="8" width="22.7109375" style="23" customWidth="1"/>
    <col min="9" max="16384" width="11.42578125" style="23"/>
  </cols>
  <sheetData>
    <row r="2" spans="2:8" ht="12.75">
      <c r="B2" s="224" t="s">
        <v>354</v>
      </c>
      <c r="C2" s="225"/>
      <c r="D2" s="225"/>
      <c r="E2" s="225"/>
      <c r="F2" s="225"/>
      <c r="G2" s="225"/>
      <c r="H2" s="226"/>
    </row>
    <row r="3" spans="2:8" ht="5.25" customHeight="1"/>
    <row r="4" spans="2:8" ht="25.5" customHeight="1">
      <c r="B4" s="24" t="s">
        <v>355</v>
      </c>
      <c r="C4" s="24" t="s">
        <v>356</v>
      </c>
      <c r="D4" s="24" t="s">
        <v>290</v>
      </c>
      <c r="E4" s="25" t="s">
        <v>357</v>
      </c>
      <c r="F4" s="25" t="s">
        <v>325</v>
      </c>
      <c r="G4" s="24" t="s">
        <v>358</v>
      </c>
      <c r="H4" s="25" t="s">
        <v>359</v>
      </c>
    </row>
    <row r="5" spans="2:8" ht="25.5" customHeight="1">
      <c r="B5" s="191">
        <v>1</v>
      </c>
      <c r="C5" s="192">
        <v>0.1</v>
      </c>
      <c r="D5" s="193">
        <v>42557</v>
      </c>
      <c r="E5" s="194" t="s">
        <v>603</v>
      </c>
      <c r="F5" s="194" t="s">
        <v>601</v>
      </c>
      <c r="G5" s="195" t="s">
        <v>588</v>
      </c>
      <c r="H5" s="220" t="s">
        <v>604</v>
      </c>
    </row>
    <row r="6" spans="2:8" ht="25.5" customHeight="1">
      <c r="B6" s="191"/>
      <c r="C6" s="192"/>
      <c r="D6" s="193"/>
      <c r="E6" s="194"/>
      <c r="F6" s="194"/>
      <c r="G6" s="195"/>
      <c r="H6" s="194"/>
    </row>
    <row r="7" spans="2:8">
      <c r="B7" s="191"/>
      <c r="C7" s="192"/>
      <c r="D7" s="193"/>
      <c r="E7" s="194"/>
      <c r="F7" s="194"/>
      <c r="G7" s="195"/>
      <c r="H7" s="194"/>
    </row>
  </sheetData>
  <mergeCells count="1">
    <mergeCell ref="B2:H2"/>
  </mergeCells>
  <phoneticPr fontId="7" type="noConversion"/>
  <pageMargins left="0.75" right="0.75" top="1" bottom="1" header="0" footer="0"/>
  <headerFooter alignWithMargins="0"/>
</worksheet>
</file>

<file path=xl/worksheets/sheet2.xml><?xml version="1.0" encoding="utf-8"?>
<worksheet xmlns="http://schemas.openxmlformats.org/spreadsheetml/2006/main" xmlns:r="http://schemas.openxmlformats.org/officeDocument/2006/relationships">
  <sheetPr codeName="Sheet2"/>
  <dimension ref="A1:F118"/>
  <sheetViews>
    <sheetView showGridLines="0" workbookViewId="0">
      <selection activeCell="C3" sqref="C3:F3"/>
    </sheetView>
  </sheetViews>
  <sheetFormatPr baseColWidth="10" defaultColWidth="9.140625" defaultRowHeight="12"/>
  <cols>
    <col min="1" max="1" width="1.140625" style="11" customWidth="1"/>
    <col min="2" max="2" width="31.42578125" style="11" bestFit="1" customWidth="1"/>
    <col min="3" max="3" width="6.5703125" style="11" customWidth="1"/>
    <col min="4" max="4" width="22.28515625" style="11" customWidth="1"/>
    <col min="5" max="5" width="9.140625" style="11"/>
    <col min="6" max="6" width="55.140625" style="11" customWidth="1"/>
    <col min="7" max="7" width="28.5703125" style="11" customWidth="1"/>
    <col min="8" max="16384" width="9.140625" style="11"/>
  </cols>
  <sheetData>
    <row r="1" spans="1:6" ht="18" customHeight="1">
      <c r="A1" s="1"/>
    </row>
    <row r="2" spans="1:6" ht="53.25" customHeight="1">
      <c r="A2" s="2"/>
      <c r="B2" s="12" t="s">
        <v>605</v>
      </c>
      <c r="C2" s="13"/>
      <c r="D2" s="3"/>
      <c r="E2" s="4" t="s">
        <v>596</v>
      </c>
      <c r="F2" s="5"/>
    </row>
    <row r="3" spans="1:6" ht="15" customHeight="1">
      <c r="A3" s="2"/>
      <c r="B3" s="189" t="s">
        <v>602</v>
      </c>
      <c r="C3" s="253" t="s">
        <v>606</v>
      </c>
      <c r="D3" s="254"/>
      <c r="E3" s="254"/>
      <c r="F3" s="255"/>
    </row>
    <row r="4" spans="1:6" ht="16.5" customHeight="1">
      <c r="B4" s="262"/>
      <c r="C4" s="262"/>
      <c r="D4" s="263"/>
      <c r="E4" s="263"/>
      <c r="F4" s="263"/>
    </row>
    <row r="5" spans="1:6" ht="16.5" customHeight="1">
      <c r="B5" s="187" t="s">
        <v>592</v>
      </c>
      <c r="C5" s="174"/>
      <c r="D5" s="174"/>
      <c r="E5" s="175"/>
      <c r="F5" s="153"/>
    </row>
    <row r="6" spans="1:6" ht="16.5" customHeight="1">
      <c r="B6" s="256" t="s">
        <v>593</v>
      </c>
      <c r="C6" s="257"/>
      <c r="D6" s="257"/>
      <c r="E6" s="257"/>
      <c r="F6" s="258"/>
    </row>
    <row r="7" spans="1:6" ht="16.5" customHeight="1">
      <c r="B7" s="188"/>
      <c r="C7" s="188"/>
      <c r="D7" s="188"/>
      <c r="E7" s="188"/>
      <c r="F7" s="188"/>
    </row>
    <row r="8" spans="1:6" ht="16.5" customHeight="1" thickBot="1">
      <c r="B8" s="173" t="s">
        <v>324</v>
      </c>
      <c r="C8" s="174"/>
      <c r="D8" s="174"/>
      <c r="E8" s="175"/>
      <c r="F8" s="153"/>
    </row>
    <row r="9" spans="1:6" ht="16.5" customHeight="1" thickBot="1">
      <c r="B9" s="186" t="s">
        <v>324</v>
      </c>
      <c r="C9" s="176"/>
      <c r="D9" s="259" t="s">
        <v>325</v>
      </c>
      <c r="E9" s="260"/>
      <c r="F9" s="261"/>
    </row>
    <row r="10" spans="1:6" ht="16.5" customHeight="1">
      <c r="B10" s="175"/>
      <c r="C10" s="174"/>
      <c r="D10" s="177"/>
      <c r="E10" s="177"/>
      <c r="F10" s="153"/>
    </row>
    <row r="11" spans="1:6" ht="16.5" customHeight="1">
      <c r="B11" s="178" t="s">
        <v>589</v>
      </c>
      <c r="C11" s="174"/>
      <c r="D11" s="252" t="s">
        <v>168</v>
      </c>
      <c r="E11" s="252"/>
      <c r="F11" s="252"/>
    </row>
    <row r="12" spans="1:6" ht="16.5" customHeight="1">
      <c r="B12" s="179"/>
      <c r="C12" s="174"/>
      <c r="D12" s="175"/>
      <c r="E12" s="175"/>
      <c r="F12" s="153"/>
    </row>
    <row r="13" spans="1:6" customFormat="1" ht="18" customHeight="1">
      <c r="B13" s="180" t="s">
        <v>589</v>
      </c>
      <c r="C13" s="174"/>
      <c r="D13" s="252" t="s">
        <v>169</v>
      </c>
      <c r="E13" s="252"/>
      <c r="F13" s="252"/>
    </row>
    <row r="14" spans="1:6" customFormat="1" ht="15.75" customHeight="1">
      <c r="B14" s="181"/>
      <c r="C14" s="174"/>
      <c r="D14" s="175"/>
      <c r="E14" s="175"/>
    </row>
    <row r="15" spans="1:6" customFormat="1" ht="21" customHeight="1">
      <c r="B15" s="182" t="s">
        <v>589</v>
      </c>
      <c r="C15" s="174"/>
      <c r="D15" s="252" t="s">
        <v>590</v>
      </c>
      <c r="E15" s="252"/>
      <c r="F15" s="252"/>
    </row>
    <row r="16" spans="1:6" customFormat="1" ht="12.75">
      <c r="B16" s="181"/>
      <c r="C16" s="174"/>
      <c r="D16" s="175"/>
      <c r="E16" s="175"/>
    </row>
    <row r="17" spans="1:6" customFormat="1" ht="21" customHeight="1">
      <c r="B17" s="183" t="s">
        <v>589</v>
      </c>
      <c r="C17" s="174"/>
      <c r="D17" s="252" t="s">
        <v>591</v>
      </c>
      <c r="E17" s="252"/>
      <c r="F17" s="252"/>
    </row>
    <row r="18" spans="1:6" customFormat="1" ht="12.75">
      <c r="B18" s="184"/>
      <c r="C18" s="174"/>
      <c r="D18" s="185"/>
      <c r="E18" s="185"/>
    </row>
    <row r="19" spans="1:6" ht="12.75">
      <c r="A19" s="6"/>
    </row>
    <row r="20" spans="1:6" customFormat="1" ht="16.5" customHeight="1">
      <c r="B20" s="248" t="s">
        <v>414</v>
      </c>
      <c r="C20" s="249"/>
      <c r="D20" s="249"/>
      <c r="E20" s="249"/>
      <c r="F20" s="250"/>
    </row>
    <row r="21" spans="1:6" customFormat="1" ht="13.5" customHeight="1">
      <c r="B21" s="221" t="s">
        <v>170</v>
      </c>
      <c r="C21" s="245" t="s">
        <v>325</v>
      </c>
      <c r="D21" s="246"/>
      <c r="E21" s="246"/>
      <c r="F21" s="247"/>
    </row>
    <row r="22" spans="1:6" customFormat="1" ht="12.75" customHeight="1">
      <c r="B22" s="14" t="s">
        <v>415</v>
      </c>
      <c r="C22" s="227" t="s">
        <v>362</v>
      </c>
      <c r="D22" s="227"/>
      <c r="E22" s="227"/>
      <c r="F22" s="227"/>
    </row>
    <row r="23" spans="1:6" customFormat="1" ht="12.75" customHeight="1">
      <c r="B23" s="14" t="s">
        <v>311</v>
      </c>
      <c r="C23" s="227" t="s">
        <v>416</v>
      </c>
      <c r="D23" s="227"/>
      <c r="E23" s="227"/>
      <c r="F23" s="227"/>
    </row>
    <row r="24" spans="1:6" customFormat="1" ht="12.75" customHeight="1">
      <c r="B24" s="14" t="s">
        <v>417</v>
      </c>
      <c r="C24" s="227" t="s">
        <v>363</v>
      </c>
      <c r="D24" s="227"/>
      <c r="E24" s="227"/>
      <c r="F24" s="227"/>
    </row>
    <row r="25" spans="1:6" customFormat="1" ht="12" customHeight="1">
      <c r="B25" s="14" t="s">
        <v>510</v>
      </c>
      <c r="C25" s="228" t="s">
        <v>511</v>
      </c>
      <c r="D25" s="229"/>
      <c r="E25" s="229"/>
      <c r="F25" s="230"/>
    </row>
    <row r="26" spans="1:6" customFormat="1" ht="12.75" customHeight="1">
      <c r="B26" s="14" t="s">
        <v>364</v>
      </c>
      <c r="C26" s="227" t="s">
        <v>365</v>
      </c>
      <c r="D26" s="227"/>
      <c r="E26" s="227"/>
      <c r="F26" s="227"/>
    </row>
    <row r="27" spans="1:6" customFormat="1" ht="12.75" customHeight="1">
      <c r="B27" s="14" t="s">
        <v>419</v>
      </c>
      <c r="C27" s="227" t="s">
        <v>366</v>
      </c>
      <c r="D27" s="227"/>
      <c r="E27" s="227"/>
      <c r="F27" s="227"/>
    </row>
    <row r="28" spans="1:6" customFormat="1" ht="12.75" customHeight="1">
      <c r="B28" s="14" t="s">
        <v>367</v>
      </c>
      <c r="C28" s="227" t="s">
        <v>368</v>
      </c>
      <c r="D28" s="227"/>
      <c r="E28" s="227"/>
      <c r="F28" s="227"/>
    </row>
    <row r="29" spans="1:6" customFormat="1" ht="12.75" customHeight="1">
      <c r="B29" s="11"/>
      <c r="C29" s="11"/>
      <c r="D29" s="11"/>
      <c r="E29" s="11"/>
      <c r="F29" s="11"/>
    </row>
    <row r="30" spans="1:6" customFormat="1" ht="12.75" customHeight="1">
      <c r="B30" s="29"/>
      <c r="C30" s="30"/>
      <c r="D30" s="30"/>
      <c r="E30" s="30"/>
      <c r="F30" s="30"/>
    </row>
    <row r="31" spans="1:6" ht="12.75">
      <c r="A31" s="6"/>
    </row>
    <row r="33" spans="1:6" customFormat="1" ht="16.5" customHeight="1">
      <c r="B33" s="248" t="s">
        <v>316</v>
      </c>
      <c r="C33" s="249"/>
      <c r="D33" s="249"/>
      <c r="E33" s="249"/>
      <c r="F33" s="250"/>
    </row>
    <row r="34" spans="1:6" customFormat="1" ht="13.5" customHeight="1">
      <c r="B34" s="221" t="s">
        <v>170</v>
      </c>
      <c r="C34" s="245" t="s">
        <v>325</v>
      </c>
      <c r="D34" s="246"/>
      <c r="E34" s="246"/>
      <c r="F34" s="247"/>
    </row>
    <row r="35" spans="1:6" customFormat="1" ht="12.75" customHeight="1">
      <c r="B35" s="14" t="s">
        <v>311</v>
      </c>
      <c r="C35" s="227" t="s">
        <v>317</v>
      </c>
      <c r="D35" s="227"/>
      <c r="E35" s="227"/>
      <c r="F35" s="227"/>
    </row>
    <row r="36" spans="1:6" customFormat="1" ht="12.75" customHeight="1">
      <c r="B36" s="14" t="s">
        <v>312</v>
      </c>
      <c r="C36" s="227" t="s">
        <v>318</v>
      </c>
      <c r="D36" s="227"/>
      <c r="E36" s="227"/>
      <c r="F36" s="227"/>
    </row>
    <row r="37" spans="1:6" customFormat="1" ht="12.75" customHeight="1">
      <c r="B37" s="14" t="s">
        <v>369</v>
      </c>
      <c r="C37" s="227" t="s">
        <v>370</v>
      </c>
      <c r="D37" s="227"/>
      <c r="E37" s="227"/>
      <c r="F37" s="227"/>
    </row>
    <row r="38" spans="1:6" customFormat="1" ht="12.75" customHeight="1">
      <c r="B38" s="14" t="s">
        <v>339</v>
      </c>
      <c r="C38" s="227" t="s">
        <v>371</v>
      </c>
      <c r="D38" s="227"/>
      <c r="E38" s="227"/>
      <c r="F38" s="227"/>
    </row>
    <row r="39" spans="1:6" ht="12.75">
      <c r="A39" s="6"/>
    </row>
    <row r="41" spans="1:6" customFormat="1" ht="16.5" customHeight="1">
      <c r="B41" s="248" t="s">
        <v>319</v>
      </c>
      <c r="C41" s="249"/>
      <c r="D41" s="249"/>
      <c r="E41" s="249"/>
      <c r="F41" s="250"/>
    </row>
    <row r="42" spans="1:6" customFormat="1" ht="13.5" customHeight="1">
      <c r="B42" s="221" t="s">
        <v>170</v>
      </c>
      <c r="C42" s="245" t="s">
        <v>325</v>
      </c>
      <c r="D42" s="246"/>
      <c r="E42" s="246"/>
      <c r="F42" s="247"/>
    </row>
    <row r="43" spans="1:6" customFormat="1" ht="13.5" customHeight="1">
      <c r="B43" s="244" t="s">
        <v>6</v>
      </c>
      <c r="C43" s="244"/>
      <c r="D43" s="244"/>
      <c r="E43" s="244"/>
      <c r="F43" s="244"/>
    </row>
    <row r="44" spans="1:6" customFormat="1" ht="12.75" customHeight="1">
      <c r="B44" s="15" t="s">
        <v>377</v>
      </c>
      <c r="C44" s="227" t="s">
        <v>378</v>
      </c>
      <c r="D44" s="227"/>
      <c r="E44" s="227"/>
      <c r="F44" s="227"/>
    </row>
    <row r="45" spans="1:6" customFormat="1" ht="12.75" customHeight="1">
      <c r="B45" s="15" t="s">
        <v>594</v>
      </c>
      <c r="C45" s="227" t="s">
        <v>595</v>
      </c>
      <c r="D45" s="227"/>
      <c r="E45" s="227"/>
      <c r="F45" s="227"/>
    </row>
    <row r="46" spans="1:6" customFormat="1" ht="12.75" customHeight="1">
      <c r="B46" s="15" t="s">
        <v>499</v>
      </c>
      <c r="C46" s="227" t="s">
        <v>0</v>
      </c>
      <c r="D46" s="227"/>
      <c r="E46" s="227"/>
      <c r="F46" s="227"/>
    </row>
    <row r="47" spans="1:6" customFormat="1" ht="12.75" customHeight="1">
      <c r="B47" s="15" t="s">
        <v>500</v>
      </c>
      <c r="C47" s="227" t="s">
        <v>2</v>
      </c>
      <c r="D47" s="227"/>
      <c r="E47" s="227"/>
      <c r="F47" s="227"/>
    </row>
    <row r="48" spans="1:6" customFormat="1" ht="12.75" customHeight="1">
      <c r="B48" s="15" t="s">
        <v>501</v>
      </c>
      <c r="C48" s="227" t="s">
        <v>1</v>
      </c>
      <c r="D48" s="227"/>
      <c r="E48" s="227"/>
      <c r="F48" s="227"/>
    </row>
    <row r="49" spans="1:6" customFormat="1" ht="12.75" customHeight="1">
      <c r="B49" s="15" t="s">
        <v>502</v>
      </c>
      <c r="C49" s="227" t="s">
        <v>3</v>
      </c>
      <c r="D49" s="227"/>
      <c r="E49" s="227"/>
      <c r="F49" s="227"/>
    </row>
    <row r="50" spans="1:6" customFormat="1" ht="12.75" customHeight="1">
      <c r="B50" s="15" t="s">
        <v>149</v>
      </c>
      <c r="C50" s="227" t="s">
        <v>4</v>
      </c>
      <c r="D50" s="227"/>
      <c r="E50" s="227"/>
      <c r="F50" s="227"/>
    </row>
    <row r="51" spans="1:6" customFormat="1" ht="12.75" customHeight="1">
      <c r="B51" s="231" t="s">
        <v>5</v>
      </c>
      <c r="C51" s="232"/>
      <c r="D51" s="232"/>
      <c r="E51" s="232"/>
      <c r="F51" s="233"/>
    </row>
    <row r="52" spans="1:6" customFormat="1" ht="12.75" customHeight="1">
      <c r="B52" s="15" t="s">
        <v>289</v>
      </c>
      <c r="C52" s="228" t="s">
        <v>320</v>
      </c>
      <c r="D52" s="229"/>
      <c r="E52" s="229"/>
      <c r="F52" s="230"/>
    </row>
    <row r="53" spans="1:6" customFormat="1" ht="12.75" customHeight="1">
      <c r="B53" s="15" t="s">
        <v>376</v>
      </c>
      <c r="C53" s="227" t="s">
        <v>379</v>
      </c>
      <c r="D53" s="227"/>
      <c r="E53" s="227"/>
      <c r="F53" s="227"/>
    </row>
    <row r="54" spans="1:6" customFormat="1" ht="12.75" customHeight="1">
      <c r="B54" s="15" t="s">
        <v>292</v>
      </c>
      <c r="C54" s="227" t="s">
        <v>321</v>
      </c>
      <c r="D54" s="227"/>
      <c r="E54" s="227"/>
      <c r="F54" s="227"/>
    </row>
    <row r="55" spans="1:6" customFormat="1" ht="12.75" customHeight="1">
      <c r="B55" s="7" t="s">
        <v>290</v>
      </c>
      <c r="C55" s="227" t="s">
        <v>372</v>
      </c>
      <c r="D55" s="227"/>
      <c r="E55" s="227"/>
      <c r="F55" s="227"/>
    </row>
    <row r="56" spans="1:6" customFormat="1" ht="12.75" customHeight="1">
      <c r="B56" s="15" t="s">
        <v>315</v>
      </c>
      <c r="C56" s="227" t="s">
        <v>322</v>
      </c>
      <c r="D56" s="227"/>
      <c r="E56" s="227"/>
      <c r="F56" s="227"/>
    </row>
    <row r="57" spans="1:6" customFormat="1" ht="18" customHeight="1">
      <c r="B57" s="15" t="s">
        <v>226</v>
      </c>
      <c r="C57" s="227" t="s">
        <v>514</v>
      </c>
      <c r="D57" s="227"/>
      <c r="E57" s="227"/>
      <c r="F57" s="227"/>
    </row>
    <row r="58" spans="1:6" ht="15.75" customHeight="1">
      <c r="B58" s="15" t="s">
        <v>227</v>
      </c>
      <c r="C58" s="227" t="s">
        <v>515</v>
      </c>
      <c r="D58" s="227"/>
      <c r="E58" s="227"/>
      <c r="F58" s="227"/>
    </row>
    <row r="59" spans="1:6" customFormat="1" ht="12.75" customHeight="1">
      <c r="B59" s="15" t="s">
        <v>230</v>
      </c>
      <c r="C59" s="227" t="s">
        <v>234</v>
      </c>
      <c r="D59" s="227"/>
      <c r="E59" s="227"/>
      <c r="F59" s="227"/>
    </row>
    <row r="60" spans="1:6" customFormat="1" ht="12.75" customHeight="1">
      <c r="B60" s="15" t="s">
        <v>232</v>
      </c>
      <c r="C60" s="227" t="s">
        <v>235</v>
      </c>
      <c r="D60" s="227"/>
      <c r="E60" s="227"/>
      <c r="F60" s="227"/>
    </row>
    <row r="61" spans="1:6" customFormat="1" ht="12.75" customHeight="1">
      <c r="B61" s="15" t="s">
        <v>233</v>
      </c>
      <c r="C61" s="227" t="s">
        <v>236</v>
      </c>
      <c r="D61" s="227"/>
      <c r="E61" s="227"/>
      <c r="F61" s="227"/>
    </row>
    <row r="62" spans="1:6" ht="12.75">
      <c r="A62" s="6"/>
    </row>
    <row r="64" spans="1:6" customFormat="1" ht="16.5" customHeight="1">
      <c r="B64" s="248" t="s">
        <v>518</v>
      </c>
      <c r="C64" s="249"/>
      <c r="D64" s="249"/>
      <c r="E64" s="249"/>
      <c r="F64" s="250"/>
    </row>
    <row r="65" spans="2:6" customFormat="1" ht="42" customHeight="1">
      <c r="B65" s="242" t="s">
        <v>225</v>
      </c>
      <c r="C65" s="243"/>
      <c r="D65" s="243"/>
      <c r="E65" s="243"/>
      <c r="F65" s="243"/>
    </row>
    <row r="66" spans="2:6" customFormat="1" ht="13.5" customHeight="1">
      <c r="B66" s="221" t="s">
        <v>170</v>
      </c>
      <c r="C66" s="239" t="s">
        <v>325</v>
      </c>
      <c r="D66" s="240"/>
      <c r="E66" s="240"/>
      <c r="F66" s="241"/>
    </row>
    <row r="67" spans="2:6" customFormat="1" ht="13.5" customHeight="1">
      <c r="B67" s="234" t="s">
        <v>6</v>
      </c>
      <c r="C67" s="234"/>
      <c r="D67" s="234"/>
      <c r="E67" s="234"/>
      <c r="F67" s="235"/>
    </row>
    <row r="68" spans="2:6" customFormat="1" ht="77.25" customHeight="1">
      <c r="B68" s="98" t="s">
        <v>506</v>
      </c>
      <c r="C68" s="227" t="s">
        <v>512</v>
      </c>
      <c r="D68" s="227"/>
      <c r="E68" s="227"/>
      <c r="F68" s="227"/>
    </row>
    <row r="69" spans="2:6" customFormat="1" ht="44.25" customHeight="1">
      <c r="B69" s="98" t="s">
        <v>513</v>
      </c>
      <c r="C69" s="227" t="s">
        <v>516</v>
      </c>
      <c r="D69" s="227"/>
      <c r="E69" s="227"/>
      <c r="F69" s="227"/>
    </row>
    <row r="70" spans="2:6" customFormat="1" ht="12" customHeight="1">
      <c r="B70" s="98" t="s">
        <v>361</v>
      </c>
      <c r="C70" s="227" t="s">
        <v>520</v>
      </c>
      <c r="D70" s="227"/>
      <c r="E70" s="227"/>
      <c r="F70" s="227"/>
    </row>
    <row r="71" spans="2:6" customFormat="1" ht="12" customHeight="1">
      <c r="B71" s="190" t="s">
        <v>494</v>
      </c>
      <c r="C71" s="227" t="s">
        <v>9</v>
      </c>
      <c r="D71" s="227"/>
      <c r="E71" s="227"/>
      <c r="F71" s="227"/>
    </row>
    <row r="72" spans="2:6" customFormat="1" ht="12" customHeight="1">
      <c r="B72" s="190" t="s">
        <v>495</v>
      </c>
      <c r="C72" s="227" t="s">
        <v>8</v>
      </c>
      <c r="D72" s="227"/>
      <c r="E72" s="227"/>
      <c r="F72" s="227"/>
    </row>
    <row r="73" spans="2:6" customFormat="1" ht="12" customHeight="1">
      <c r="B73" s="190" t="s">
        <v>496</v>
      </c>
      <c r="C73" s="227" t="s">
        <v>7</v>
      </c>
      <c r="D73" s="227"/>
      <c r="E73" s="227"/>
      <c r="F73" s="227"/>
    </row>
    <row r="74" spans="2:6" customFormat="1" ht="12" customHeight="1">
      <c r="B74" s="190" t="s">
        <v>221</v>
      </c>
      <c r="C74" s="227" t="s">
        <v>222</v>
      </c>
      <c r="D74" s="227"/>
      <c r="E74" s="227"/>
      <c r="F74" s="227"/>
    </row>
    <row r="75" spans="2:6" customFormat="1" ht="12" customHeight="1">
      <c r="B75" s="190" t="s">
        <v>218</v>
      </c>
      <c r="C75" s="227" t="s">
        <v>219</v>
      </c>
      <c r="D75" s="227"/>
      <c r="E75" s="227"/>
      <c r="F75" s="227"/>
    </row>
    <row r="76" spans="2:6" customFormat="1" ht="12" customHeight="1">
      <c r="B76" s="236" t="s">
        <v>5</v>
      </c>
      <c r="C76" s="237"/>
      <c r="D76" s="237"/>
      <c r="E76" s="237"/>
      <c r="F76" s="238"/>
    </row>
    <row r="77" spans="2:6" customFormat="1" ht="12.75" customHeight="1">
      <c r="B77" s="15" t="s">
        <v>171</v>
      </c>
      <c r="C77" s="227" t="s">
        <v>172</v>
      </c>
      <c r="D77" s="227"/>
      <c r="E77" s="227"/>
      <c r="F77" s="227"/>
    </row>
    <row r="78" spans="2:6" customFormat="1" ht="12.75" customHeight="1">
      <c r="B78" s="15" t="s">
        <v>209</v>
      </c>
      <c r="C78" s="227" t="s">
        <v>191</v>
      </c>
      <c r="D78" s="227"/>
      <c r="E78" s="227"/>
      <c r="F78" s="227"/>
    </row>
    <row r="79" spans="2:6" customFormat="1" ht="12.75" customHeight="1">
      <c r="B79" s="15" t="s">
        <v>171</v>
      </c>
      <c r="C79" s="227" t="s">
        <v>195</v>
      </c>
      <c r="D79" s="227"/>
      <c r="E79" s="227"/>
      <c r="F79" s="227"/>
    </row>
    <row r="80" spans="2:6" customFormat="1" ht="12.75" customHeight="1">
      <c r="B80" s="15" t="s">
        <v>203</v>
      </c>
      <c r="C80" s="227" t="s">
        <v>196</v>
      </c>
      <c r="D80" s="227"/>
      <c r="E80" s="227"/>
      <c r="F80" s="227"/>
    </row>
    <row r="81" spans="1:6" customFormat="1" ht="12.75" customHeight="1">
      <c r="B81" s="15" t="s">
        <v>204</v>
      </c>
      <c r="C81" s="227" t="s">
        <v>194</v>
      </c>
      <c r="D81" s="227"/>
      <c r="E81" s="227"/>
      <c r="F81" s="227"/>
    </row>
    <row r="82" spans="1:6" ht="12.75" customHeight="1">
      <c r="B82" s="15" t="s">
        <v>205</v>
      </c>
      <c r="C82" s="227" t="s">
        <v>173</v>
      </c>
      <c r="D82" s="227"/>
      <c r="E82" s="227"/>
      <c r="F82" s="227"/>
    </row>
    <row r="83" spans="1:6" ht="12.75" customHeight="1">
      <c r="B83" s="15" t="s">
        <v>171</v>
      </c>
      <c r="C83" s="227" t="s">
        <v>192</v>
      </c>
      <c r="D83" s="227"/>
      <c r="E83" s="227"/>
      <c r="F83" s="227"/>
    </row>
    <row r="84" spans="1:6" ht="12.75" customHeight="1">
      <c r="B84" s="15" t="s">
        <v>203</v>
      </c>
      <c r="C84" s="227" t="s">
        <v>193</v>
      </c>
      <c r="D84" s="227"/>
      <c r="E84" s="227"/>
      <c r="F84" s="227"/>
    </row>
    <row r="85" spans="1:6" ht="12.75" customHeight="1">
      <c r="A85" s="1"/>
      <c r="B85" s="15" t="s">
        <v>206</v>
      </c>
      <c r="C85" s="251" t="s">
        <v>197</v>
      </c>
      <c r="D85" s="251"/>
      <c r="E85" s="251"/>
      <c r="F85" s="251"/>
    </row>
    <row r="86" spans="1:6" ht="12.75" customHeight="1">
      <c r="B86" s="15" t="s">
        <v>198</v>
      </c>
      <c r="C86" s="227" t="s">
        <v>198</v>
      </c>
      <c r="D86" s="227"/>
      <c r="E86" s="227"/>
      <c r="F86" s="227"/>
    </row>
    <row r="87" spans="1:6" ht="12.75" customHeight="1">
      <c r="B87" s="15" t="s">
        <v>330</v>
      </c>
      <c r="C87" s="227" t="s">
        <v>420</v>
      </c>
      <c r="D87" s="227"/>
      <c r="E87" s="227"/>
      <c r="F87" s="227"/>
    </row>
    <row r="88" spans="1:6" ht="12.75" customHeight="1">
      <c r="B88" s="15" t="s">
        <v>421</v>
      </c>
      <c r="C88" s="227" t="s">
        <v>224</v>
      </c>
      <c r="D88" s="227"/>
      <c r="E88" s="227"/>
      <c r="F88" s="227"/>
    </row>
    <row r="89" spans="1:6" ht="12.75" customHeight="1">
      <c r="B89" s="15" t="s">
        <v>332</v>
      </c>
      <c r="C89" s="227" t="s">
        <v>422</v>
      </c>
      <c r="D89" s="227"/>
      <c r="E89" s="227"/>
      <c r="F89" s="227"/>
    </row>
    <row r="90" spans="1:6" ht="12.75" customHeight="1">
      <c r="B90" s="16" t="s">
        <v>493</v>
      </c>
      <c r="C90" s="227" t="s">
        <v>423</v>
      </c>
      <c r="D90" s="227"/>
      <c r="E90" s="227"/>
      <c r="F90" s="227"/>
    </row>
    <row r="91" spans="1:6" ht="12.75">
      <c r="B91" s="15" t="s">
        <v>207</v>
      </c>
      <c r="C91" s="227" t="s">
        <v>199</v>
      </c>
      <c r="D91" s="227"/>
      <c r="E91" s="227"/>
      <c r="F91" s="227"/>
    </row>
    <row r="92" spans="1:6" ht="12.75">
      <c r="B92" s="15" t="s">
        <v>188</v>
      </c>
      <c r="C92" s="227" t="s">
        <v>200</v>
      </c>
      <c r="D92" s="227"/>
      <c r="E92" s="227"/>
      <c r="F92" s="227"/>
    </row>
    <row r="93" spans="1:6" ht="12.75" customHeight="1">
      <c r="B93" s="15" t="s">
        <v>189</v>
      </c>
      <c r="C93" s="227" t="s">
        <v>200</v>
      </c>
      <c r="D93" s="227"/>
      <c r="E93" s="227"/>
      <c r="F93" s="227"/>
    </row>
    <row r="94" spans="1:6" ht="12.75" customHeight="1">
      <c r="B94" s="15" t="s">
        <v>190</v>
      </c>
      <c r="C94" s="227" t="s">
        <v>200</v>
      </c>
      <c r="D94" s="227"/>
      <c r="E94" s="227"/>
      <c r="F94" s="227"/>
    </row>
    <row r="95" spans="1:6" ht="12.75">
      <c r="B95" s="15" t="s">
        <v>208</v>
      </c>
      <c r="C95" s="227" t="s">
        <v>476</v>
      </c>
      <c r="D95" s="227"/>
      <c r="E95" s="227"/>
      <c r="F95" s="227"/>
    </row>
    <row r="96" spans="1:6" ht="12.75">
      <c r="B96" s="15" t="s">
        <v>374</v>
      </c>
      <c r="C96" s="227" t="s">
        <v>375</v>
      </c>
      <c r="D96" s="227"/>
      <c r="E96" s="227"/>
      <c r="F96" s="227"/>
    </row>
    <row r="97" spans="2:6" ht="12.75">
      <c r="B97" s="31"/>
      <c r="C97" s="30"/>
      <c r="D97" s="30"/>
      <c r="E97" s="30"/>
      <c r="F97" s="30"/>
    </row>
    <row r="100" spans="2:6" ht="12.75">
      <c r="B100" s="248" t="s">
        <v>373</v>
      </c>
      <c r="C100" s="249"/>
      <c r="D100" s="249"/>
      <c r="E100" s="249"/>
      <c r="F100" s="250"/>
    </row>
    <row r="101" spans="2:6" ht="12.75">
      <c r="B101" s="221" t="s">
        <v>170</v>
      </c>
      <c r="C101" s="245" t="s">
        <v>325</v>
      </c>
      <c r="D101" s="246"/>
      <c r="E101" s="246"/>
      <c r="F101" s="247"/>
    </row>
    <row r="102" spans="2:6" ht="12.75">
      <c r="B102" s="15" t="s">
        <v>171</v>
      </c>
      <c r="C102" s="227" t="s">
        <v>424</v>
      </c>
      <c r="D102" s="227"/>
      <c r="E102" s="227"/>
      <c r="F102" s="227"/>
    </row>
    <row r="103" spans="2:6" ht="12.75">
      <c r="B103" s="15" t="s">
        <v>289</v>
      </c>
      <c r="C103" s="227" t="s">
        <v>425</v>
      </c>
      <c r="D103" s="227"/>
      <c r="E103" s="227"/>
      <c r="F103" s="227"/>
    </row>
    <row r="104" spans="2:6" ht="12.75">
      <c r="B104" s="15" t="s">
        <v>517</v>
      </c>
      <c r="C104" s="227" t="s">
        <v>10</v>
      </c>
      <c r="D104" s="227"/>
      <c r="E104" s="227"/>
      <c r="F104" s="227"/>
    </row>
    <row r="105" spans="2:6" ht="13.5" customHeight="1">
      <c r="B105" s="15" t="s">
        <v>315</v>
      </c>
      <c r="C105" s="227" t="s">
        <v>519</v>
      </c>
      <c r="D105" s="227"/>
      <c r="E105" s="227"/>
      <c r="F105" s="227"/>
    </row>
    <row r="106" spans="2:6" ht="12.75">
      <c r="B106" s="15" t="s">
        <v>284</v>
      </c>
      <c r="C106" s="227" t="s">
        <v>426</v>
      </c>
      <c r="D106" s="227"/>
      <c r="E106" s="227"/>
      <c r="F106" s="227"/>
    </row>
    <row r="107" spans="2:6" ht="12.75">
      <c r="B107" s="15" t="s">
        <v>427</v>
      </c>
      <c r="C107" s="227" t="s">
        <v>428</v>
      </c>
      <c r="D107" s="227"/>
      <c r="E107" s="227"/>
      <c r="F107" s="227"/>
    </row>
    <row r="108" spans="2:6" ht="12.75">
      <c r="B108" s="15" t="s">
        <v>286</v>
      </c>
      <c r="C108" s="227" t="s">
        <v>429</v>
      </c>
      <c r="D108" s="227"/>
      <c r="E108" s="227"/>
      <c r="F108" s="227"/>
    </row>
    <row r="109" spans="2:6" ht="12.75">
      <c r="B109" s="15" t="s">
        <v>287</v>
      </c>
      <c r="C109" s="227" t="s">
        <v>430</v>
      </c>
      <c r="D109" s="227"/>
      <c r="E109" s="227"/>
      <c r="F109" s="227"/>
    </row>
    <row r="110" spans="2:6" ht="39" customHeight="1">
      <c r="B110" s="15" t="s">
        <v>299</v>
      </c>
      <c r="C110" s="227" t="s">
        <v>74</v>
      </c>
      <c r="D110" s="227"/>
      <c r="E110" s="227"/>
      <c r="F110" s="227"/>
    </row>
    <row r="111" spans="2:6" ht="12.75">
      <c r="B111" s="15" t="s">
        <v>293</v>
      </c>
      <c r="C111" s="227" t="s">
        <v>431</v>
      </c>
      <c r="D111" s="227"/>
      <c r="E111" s="227"/>
      <c r="F111" s="227"/>
    </row>
    <row r="112" spans="2:6" ht="12.75">
      <c r="B112" s="15" t="s">
        <v>298</v>
      </c>
      <c r="C112" s="227" t="s">
        <v>432</v>
      </c>
      <c r="D112" s="227"/>
      <c r="E112" s="227"/>
      <c r="F112" s="227"/>
    </row>
    <row r="113" spans="2:6" ht="12.75">
      <c r="B113" s="15" t="s">
        <v>297</v>
      </c>
      <c r="C113" s="227" t="s">
        <v>433</v>
      </c>
      <c r="D113" s="227"/>
      <c r="E113" s="227"/>
      <c r="F113" s="227"/>
    </row>
    <row r="114" spans="2:6" ht="12.75">
      <c r="B114" s="15" t="s">
        <v>294</v>
      </c>
      <c r="C114" s="227" t="s">
        <v>434</v>
      </c>
      <c r="D114" s="227"/>
      <c r="E114" s="227"/>
      <c r="F114" s="227"/>
    </row>
    <row r="115" spans="2:6" ht="12.75">
      <c r="B115" s="15" t="s">
        <v>295</v>
      </c>
      <c r="C115" s="227" t="s">
        <v>435</v>
      </c>
      <c r="D115" s="227"/>
      <c r="E115" s="227"/>
      <c r="F115" s="227"/>
    </row>
    <row r="116" spans="2:6" ht="12.75">
      <c r="B116" s="15" t="s">
        <v>216</v>
      </c>
      <c r="C116" s="227" t="s">
        <v>217</v>
      </c>
      <c r="D116" s="227"/>
      <c r="E116" s="227"/>
      <c r="F116" s="227"/>
    </row>
    <row r="117" spans="2:6" ht="12.75">
      <c r="B117" s="15" t="s">
        <v>296</v>
      </c>
      <c r="C117" s="227" t="s">
        <v>436</v>
      </c>
      <c r="D117" s="227"/>
      <c r="E117" s="227"/>
      <c r="F117" s="227"/>
    </row>
    <row r="118" spans="2:6" ht="12.75">
      <c r="B118" s="15" t="s">
        <v>11</v>
      </c>
      <c r="C118" s="227" t="s">
        <v>12</v>
      </c>
      <c r="D118" s="227"/>
      <c r="E118" s="227"/>
      <c r="F118" s="227"/>
    </row>
  </sheetData>
  <mergeCells count="96">
    <mergeCell ref="C93:F93"/>
    <mergeCell ref="C94:F94"/>
    <mergeCell ref="C3:F3"/>
    <mergeCell ref="B6:F6"/>
    <mergeCell ref="D9:F9"/>
    <mergeCell ref="D11:F11"/>
    <mergeCell ref="D13:F13"/>
    <mergeCell ref="D15:F15"/>
    <mergeCell ref="B4:F4"/>
    <mergeCell ref="C83:F83"/>
    <mergeCell ref="C109:F109"/>
    <mergeCell ref="C110:F110"/>
    <mergeCell ref="D17:F17"/>
    <mergeCell ref="C105:F105"/>
    <mergeCell ref="C54:F54"/>
    <mergeCell ref="C56:F56"/>
    <mergeCell ref="C103:F103"/>
    <mergeCell ref="C91:F91"/>
    <mergeCell ref="C92:F92"/>
    <mergeCell ref="C104:F104"/>
    <mergeCell ref="C102:F102"/>
    <mergeCell ref="C96:F96"/>
    <mergeCell ref="C87:F87"/>
    <mergeCell ref="C117:F117"/>
    <mergeCell ref="C112:F112"/>
    <mergeCell ref="C113:F113"/>
    <mergeCell ref="C114:F114"/>
    <mergeCell ref="C115:F115"/>
    <mergeCell ref="C116:F116"/>
    <mergeCell ref="C108:F108"/>
    <mergeCell ref="C84:F84"/>
    <mergeCell ref="C85:F85"/>
    <mergeCell ref="C86:F86"/>
    <mergeCell ref="C111:F111"/>
    <mergeCell ref="C106:F106"/>
    <mergeCell ref="C107:F107"/>
    <mergeCell ref="C95:F95"/>
    <mergeCell ref="B100:F100"/>
    <mergeCell ref="C101:F101"/>
    <mergeCell ref="C89:F89"/>
    <mergeCell ref="C25:F25"/>
    <mergeCell ref="C26:F26"/>
    <mergeCell ref="C22:F22"/>
    <mergeCell ref="C24:F24"/>
    <mergeCell ref="B20:F20"/>
    <mergeCell ref="C21:F21"/>
    <mergeCell ref="C23:F23"/>
    <mergeCell ref="C27:F27"/>
    <mergeCell ref="B64:F64"/>
    <mergeCell ref="B33:F33"/>
    <mergeCell ref="C34:F34"/>
    <mergeCell ref="C35:F35"/>
    <mergeCell ref="B41:F41"/>
    <mergeCell ref="C28:F28"/>
    <mergeCell ref="C53:F53"/>
    <mergeCell ref="C36:F36"/>
    <mergeCell ref="C37:F37"/>
    <mergeCell ref="C38:F38"/>
    <mergeCell ref="C55:F55"/>
    <mergeCell ref="C44:F44"/>
    <mergeCell ref="C77:F77"/>
    <mergeCell ref="B65:F65"/>
    <mergeCell ref="B43:F43"/>
    <mergeCell ref="C42:F42"/>
    <mergeCell ref="C45:F45"/>
    <mergeCell ref="C46:F46"/>
    <mergeCell ref="C47:F47"/>
    <mergeCell ref="C82:F82"/>
    <mergeCell ref="C78:F78"/>
    <mergeCell ref="C79:F79"/>
    <mergeCell ref="C80:F80"/>
    <mergeCell ref="C81:F81"/>
    <mergeCell ref="C59:F59"/>
    <mergeCell ref="C60:F60"/>
    <mergeCell ref="C66:F66"/>
    <mergeCell ref="C61:F61"/>
    <mergeCell ref="C74:F74"/>
    <mergeCell ref="C48:F48"/>
    <mergeCell ref="C118:F118"/>
    <mergeCell ref="B67:F67"/>
    <mergeCell ref="B76:F76"/>
    <mergeCell ref="C71:F71"/>
    <mergeCell ref="C72:F72"/>
    <mergeCell ref="C73:F73"/>
    <mergeCell ref="C69:F69"/>
    <mergeCell ref="C88:F88"/>
    <mergeCell ref="C90:F90"/>
    <mergeCell ref="C75:F75"/>
    <mergeCell ref="C68:F68"/>
    <mergeCell ref="C70:F70"/>
    <mergeCell ref="C49:F49"/>
    <mergeCell ref="C50:F50"/>
    <mergeCell ref="C52:F52"/>
    <mergeCell ref="B51:F51"/>
    <mergeCell ref="C57:F57"/>
    <mergeCell ref="C58:F58"/>
  </mergeCells>
  <phoneticPr fontId="7" type="noConversion"/>
  <pageMargins left="0.75" right="0.75" top="1" bottom="1" header="0.5" footer="0.5"/>
  <pageSetup paperSize="9" orientation="portrait" r:id="rId1"/>
  <headerFooter alignWithMargins="0"/>
  <cellWatches>
    <cellWatch r="A62"/>
  </cellWatches>
</worksheet>
</file>

<file path=xl/worksheets/sheet3.xml><?xml version="1.0" encoding="utf-8"?>
<worksheet xmlns="http://schemas.openxmlformats.org/spreadsheetml/2006/main" xmlns:r="http://schemas.openxmlformats.org/officeDocument/2006/relationships">
  <sheetPr codeName="Sheet3"/>
  <dimension ref="A1:AP25"/>
  <sheetViews>
    <sheetView showGridLines="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73" t="s">
        <v>291</v>
      </c>
      <c r="C2" s="274"/>
      <c r="D2" s="274"/>
      <c r="E2" s="274"/>
      <c r="F2" s="274"/>
      <c r="G2" s="274"/>
      <c r="H2" s="274"/>
      <c r="I2" s="274"/>
      <c r="J2" s="274"/>
      <c r="K2" s="274"/>
      <c r="L2" s="274"/>
      <c r="M2" s="274"/>
      <c r="N2" s="275"/>
    </row>
    <row r="3" spans="1:42" ht="13.5" thickBot="1"/>
    <row r="4" spans="1:42" ht="13.5" thickBot="1">
      <c r="B4" s="276" t="s">
        <v>360</v>
      </c>
      <c r="C4" s="277"/>
      <c r="D4" s="278"/>
      <c r="E4" s="278"/>
      <c r="F4" s="51"/>
      <c r="G4" s="140"/>
      <c r="H4" s="283" t="s">
        <v>149</v>
      </c>
      <c r="I4" s="284"/>
      <c r="J4" s="284"/>
      <c r="K4" s="284"/>
      <c r="L4" s="284"/>
      <c r="M4" s="284"/>
      <c r="N4" s="285"/>
    </row>
    <row r="5" spans="1:42" ht="24.75" customHeight="1">
      <c r="B5" s="46"/>
      <c r="C5" s="46"/>
      <c r="D5" s="46"/>
      <c r="E5" s="46"/>
      <c r="F5" s="45"/>
      <c r="G5" s="111"/>
      <c r="H5" s="111"/>
      <c r="I5" s="111"/>
      <c r="J5" s="111"/>
      <c r="K5" s="111"/>
      <c r="L5" s="111"/>
      <c r="M5" s="111"/>
      <c r="N5" s="111"/>
    </row>
    <row r="6" spans="1:42" ht="13.5" thickBot="1">
      <c r="B6" s="47" t="s">
        <v>498</v>
      </c>
      <c r="C6" s="47"/>
      <c r="D6" s="48"/>
      <c r="E6" s="279">
        <f>AVERAGE(G14:G24)</f>
        <v>0.13289760348583879</v>
      </c>
      <c r="F6" s="279"/>
      <c r="G6" s="140"/>
      <c r="H6" s="143" t="s">
        <v>202</v>
      </c>
      <c r="I6" s="144" t="s">
        <v>453</v>
      </c>
      <c r="J6" s="144" t="s">
        <v>283</v>
      </c>
      <c r="K6" s="144" t="s">
        <v>584</v>
      </c>
      <c r="L6" s="144" t="s">
        <v>459</v>
      </c>
      <c r="M6" s="145" t="s">
        <v>461</v>
      </c>
    </row>
    <row r="7" spans="1:42">
      <c r="B7" s="47" t="s">
        <v>499</v>
      </c>
      <c r="C7" s="99"/>
      <c r="D7" s="100"/>
      <c r="E7" s="279">
        <f>AVERAGE(H14:H24)</f>
        <v>0.88634630053394359</v>
      </c>
      <c r="F7" s="279"/>
      <c r="G7" s="141" t="s">
        <v>494</v>
      </c>
      <c r="H7" s="162">
        <f>SUM(M14:M24)</f>
        <v>22</v>
      </c>
      <c r="I7" s="162">
        <f>SUM(R14:R24)</f>
        <v>7</v>
      </c>
      <c r="J7" s="162">
        <f>SUM(W14:W24)</f>
        <v>7</v>
      </c>
      <c r="K7" s="162">
        <f>SUM(AB14:AB24)</f>
        <v>6</v>
      </c>
      <c r="L7" s="162">
        <f>SUM(AG14:AG24)</f>
        <v>9</v>
      </c>
      <c r="M7" s="162">
        <f>SUM(AL14:AL24)</f>
        <v>3</v>
      </c>
    </row>
    <row r="8" spans="1:42" ht="22.5">
      <c r="B8" s="280" t="s">
        <v>500</v>
      </c>
      <c r="C8" s="281"/>
      <c r="D8" s="282"/>
      <c r="E8" s="279">
        <f>SUM(I14:I24)</f>
        <v>3</v>
      </c>
      <c r="F8" s="279"/>
      <c r="G8" s="142" t="s">
        <v>495</v>
      </c>
      <c r="H8" s="162">
        <f>SUM(N14:N24)</f>
        <v>6</v>
      </c>
      <c r="I8" s="162">
        <f>SUM(S14:S24)</f>
        <v>0</v>
      </c>
      <c r="J8" s="162">
        <f>SUM(X14:X24)</f>
        <v>0</v>
      </c>
      <c r="K8" s="162">
        <f>SUM(AC14:AC24)</f>
        <v>0</v>
      </c>
      <c r="L8" s="162">
        <f>SUM(AH14:AH24)</f>
        <v>1</v>
      </c>
      <c r="M8" s="162">
        <f>SUM(AM14:AM24)</f>
        <v>0</v>
      </c>
    </row>
    <row r="9" spans="1:42">
      <c r="B9" s="47" t="s">
        <v>501</v>
      </c>
      <c r="C9" s="99"/>
      <c r="D9" s="100"/>
      <c r="E9" s="279">
        <f>SUM(J14:J24)</f>
        <v>2</v>
      </c>
      <c r="F9" s="279"/>
      <c r="G9" s="142" t="s">
        <v>496</v>
      </c>
      <c r="H9" s="162">
        <f>SUM(O14:O24)</f>
        <v>3</v>
      </c>
      <c r="I9" s="162">
        <f>SUM(T14:T24)</f>
        <v>0</v>
      </c>
      <c r="J9" s="162">
        <f>SUM(Y14:Y24)</f>
        <v>0</v>
      </c>
      <c r="K9" s="162">
        <f>SUM(AD14:AD24)</f>
        <v>0</v>
      </c>
      <c r="L9" s="162">
        <f>SUM(AI14:AI24)</f>
        <v>0</v>
      </c>
      <c r="M9" s="162">
        <f>SUM(AN14:AN24)</f>
        <v>0</v>
      </c>
    </row>
    <row r="10" spans="1:42">
      <c r="B10" s="280" t="s">
        <v>502</v>
      </c>
      <c r="C10" s="281"/>
      <c r="D10" s="282"/>
      <c r="E10" s="279">
        <f>SUM(K14:K24)</f>
        <v>12</v>
      </c>
      <c r="F10" s="279"/>
      <c r="G10" s="142" t="s">
        <v>150</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c r="B11" s="26"/>
      <c r="C11" s="26"/>
      <c r="D11" s="26"/>
      <c r="E11" s="26"/>
      <c r="F11" s="27"/>
      <c r="I11" s="44"/>
      <c r="J11" s="44"/>
      <c r="K11" s="44"/>
      <c r="L11" s="44"/>
    </row>
    <row r="12" spans="1:42" ht="12.75" customHeight="1">
      <c r="A12" s="204"/>
      <c r="B12" s="204"/>
      <c r="C12" s="204"/>
      <c r="D12" s="204"/>
      <c r="E12" s="204"/>
      <c r="F12" s="204"/>
      <c r="G12" s="267" t="s">
        <v>231</v>
      </c>
      <c r="H12" s="268"/>
      <c r="I12" s="270" t="s">
        <v>418</v>
      </c>
      <c r="J12" s="271"/>
      <c r="K12" s="271"/>
      <c r="L12" s="272"/>
      <c r="M12" s="269" t="s">
        <v>202</v>
      </c>
      <c r="N12" s="265"/>
      <c r="O12" s="265"/>
      <c r="P12" s="265"/>
      <c r="Q12" s="266"/>
      <c r="R12" s="264" t="s">
        <v>453</v>
      </c>
      <c r="S12" s="265"/>
      <c r="T12" s="265"/>
      <c r="U12" s="265"/>
      <c r="V12" s="266"/>
      <c r="W12" s="264" t="s">
        <v>283</v>
      </c>
      <c r="X12" s="265"/>
      <c r="Y12" s="265"/>
      <c r="Z12" s="265"/>
      <c r="AA12" s="266"/>
      <c r="AB12" s="264" t="s">
        <v>584</v>
      </c>
      <c r="AC12" s="265"/>
      <c r="AD12" s="265"/>
      <c r="AE12" s="265"/>
      <c r="AF12" s="266"/>
      <c r="AG12" s="264" t="s">
        <v>28</v>
      </c>
      <c r="AH12" s="265"/>
      <c r="AI12" s="265"/>
      <c r="AJ12" s="265"/>
      <c r="AK12" s="266"/>
      <c r="AL12" s="264" t="s">
        <v>27</v>
      </c>
      <c r="AM12" s="265"/>
      <c r="AN12" s="265"/>
      <c r="AO12" s="265"/>
      <c r="AP12" s="266"/>
    </row>
    <row r="13" spans="1:42" ht="35.25" customHeight="1" thickBot="1">
      <c r="B13" s="38" t="s">
        <v>289</v>
      </c>
      <c r="C13" s="38" t="s">
        <v>16</v>
      </c>
      <c r="D13" s="38" t="s">
        <v>292</v>
      </c>
      <c r="E13" s="38" t="s">
        <v>290</v>
      </c>
      <c r="F13" s="38" t="s">
        <v>17</v>
      </c>
      <c r="G13" s="154" t="s">
        <v>226</v>
      </c>
      <c r="H13" s="154" t="s">
        <v>227</v>
      </c>
      <c r="I13" s="154" t="s">
        <v>230</v>
      </c>
      <c r="J13" s="154" t="s">
        <v>228</v>
      </c>
      <c r="K13" s="154" t="s">
        <v>229</v>
      </c>
      <c r="L13" s="200" t="s">
        <v>40</v>
      </c>
      <c r="M13" s="200" t="s">
        <v>494</v>
      </c>
      <c r="N13" s="200" t="s">
        <v>34</v>
      </c>
      <c r="O13" s="200" t="s">
        <v>35</v>
      </c>
      <c r="P13" s="200" t="s">
        <v>36</v>
      </c>
      <c r="Q13" s="200" t="s">
        <v>227</v>
      </c>
      <c r="R13" s="200" t="s">
        <v>494</v>
      </c>
      <c r="S13" s="200" t="s">
        <v>34</v>
      </c>
      <c r="T13" s="200" t="s">
        <v>35</v>
      </c>
      <c r="U13" s="200" t="s">
        <v>36</v>
      </c>
      <c r="V13" s="200" t="s">
        <v>227</v>
      </c>
      <c r="W13" s="200" t="s">
        <v>494</v>
      </c>
      <c r="X13" s="200" t="s">
        <v>34</v>
      </c>
      <c r="Y13" s="200" t="s">
        <v>35</v>
      </c>
      <c r="Z13" s="200" t="s">
        <v>36</v>
      </c>
      <c r="AA13" s="200" t="s">
        <v>227</v>
      </c>
      <c r="AB13" s="200" t="s">
        <v>494</v>
      </c>
      <c r="AC13" s="200" t="s">
        <v>34</v>
      </c>
      <c r="AD13" s="200" t="s">
        <v>35</v>
      </c>
      <c r="AE13" s="200" t="s">
        <v>36</v>
      </c>
      <c r="AF13" s="200" t="s">
        <v>227</v>
      </c>
      <c r="AG13" s="200" t="s">
        <v>494</v>
      </c>
      <c r="AH13" s="200" t="s">
        <v>34</v>
      </c>
      <c r="AI13" s="200" t="s">
        <v>35</v>
      </c>
      <c r="AJ13" s="200" t="s">
        <v>36</v>
      </c>
      <c r="AK13" s="200" t="s">
        <v>227</v>
      </c>
      <c r="AL13" s="200" t="s">
        <v>494</v>
      </c>
      <c r="AM13" s="200" t="s">
        <v>34</v>
      </c>
      <c r="AN13" s="200" t="s">
        <v>35</v>
      </c>
      <c r="AO13" s="200" t="s">
        <v>36</v>
      </c>
      <c r="AP13" s="200" t="s">
        <v>227</v>
      </c>
    </row>
    <row r="14" spans="1:42">
      <c r="B14" s="49">
        <v>1</v>
      </c>
      <c r="C14" s="49" t="s">
        <v>30</v>
      </c>
      <c r="D14" s="50" t="s">
        <v>37</v>
      </c>
      <c r="E14" s="146">
        <v>39696</v>
      </c>
      <c r="F14" s="50" t="s">
        <v>490</v>
      </c>
      <c r="G14" s="166">
        <v>0.15032679738562091</v>
      </c>
      <c r="H14" s="167">
        <v>0.86956521739130432</v>
      </c>
      <c r="I14" s="168">
        <f>COUNTIF(NC!$Q$5:$Q$1003,TEXT($B14,"0000")&amp;TAB_TIP_NC_ERROR)</f>
        <v>3</v>
      </c>
      <c r="J14" s="168">
        <f>COUNTIF(NC!$Q$5:$Q$1003,TEXT($B14,"0000")&amp;TAB_TIP_NC_OBSERVACION)</f>
        <v>0</v>
      </c>
      <c r="K14" s="205">
        <f>COUNTIF(NC!$Q$5:$Q$1003,TEXT($B14,"0000")&amp;TAB_TIP_NC_ACLARACION)</f>
        <v>3</v>
      </c>
      <c r="L14" s="210">
        <f>SUMIF(NC!$B$5:$B$21,Bitácora!B14,NC!$P$5:$P$21)</f>
        <v>4</v>
      </c>
      <c r="M14" s="7">
        <v>8</v>
      </c>
      <c r="N14" s="7">
        <v>2</v>
      </c>
      <c r="O14" s="7">
        <v>1</v>
      </c>
      <c r="P14" s="208">
        <v>6.535947712418301E-2</v>
      </c>
      <c r="Q14" s="208">
        <v>0.8</v>
      </c>
      <c r="R14" s="7">
        <v>3</v>
      </c>
      <c r="S14" s="7">
        <v>0</v>
      </c>
      <c r="T14" s="7">
        <v>0</v>
      </c>
      <c r="U14" s="208">
        <v>1.948051948051948E-2</v>
      </c>
      <c r="V14" s="208">
        <v>1</v>
      </c>
      <c r="W14" s="7">
        <v>3</v>
      </c>
      <c r="X14" s="7">
        <v>0</v>
      </c>
      <c r="Y14" s="7">
        <v>0</v>
      </c>
      <c r="Z14" s="208">
        <v>1.948051948051948E-2</v>
      </c>
      <c r="AA14" s="208">
        <v>1</v>
      </c>
      <c r="AB14" s="7">
        <v>2</v>
      </c>
      <c r="AC14" s="7">
        <v>0</v>
      </c>
      <c r="AD14" s="7">
        <v>0</v>
      </c>
      <c r="AE14" s="208">
        <v>1.2987012987012988E-2</v>
      </c>
      <c r="AF14" s="208">
        <v>1</v>
      </c>
      <c r="AG14" s="7">
        <v>3</v>
      </c>
      <c r="AH14" s="7">
        <v>1</v>
      </c>
      <c r="AI14" s="7">
        <v>0</v>
      </c>
      <c r="AJ14" s="208">
        <v>2.5974025974025976E-2</v>
      </c>
      <c r="AK14" s="208">
        <v>0.75</v>
      </c>
      <c r="AL14" s="7">
        <v>1</v>
      </c>
      <c r="AM14" s="7">
        <v>0</v>
      </c>
      <c r="AN14" s="7">
        <v>0</v>
      </c>
      <c r="AO14" s="208">
        <v>6.4935064935064939E-3</v>
      </c>
      <c r="AP14" s="208">
        <v>1</v>
      </c>
    </row>
    <row r="15" spans="1:42">
      <c r="B15" s="49">
        <v>2</v>
      </c>
      <c r="C15" s="49" t="s">
        <v>32</v>
      </c>
      <c r="D15" s="50" t="s">
        <v>38</v>
      </c>
      <c r="E15" s="146">
        <v>39696</v>
      </c>
      <c r="F15" s="50" t="s">
        <v>440</v>
      </c>
      <c r="G15" s="169">
        <v>0.12418300653594772</v>
      </c>
      <c r="H15" s="164">
        <v>0.89473684210526316</v>
      </c>
      <c r="I15" s="165">
        <f>COUNTIF(NC!$Q$5:$Q$1003,TEXT($B15,"0000")&amp;TAB_TIP_NC_ERROR)</f>
        <v>0</v>
      </c>
      <c r="J15" s="165">
        <f>COUNTIF(NC!$Q$5:$Q$1003,TEXT($B15,"0000")&amp;TAB_TIP_NC_OBSERVACION)</f>
        <v>1</v>
      </c>
      <c r="K15" s="206">
        <f>COUNTIF(NC!$Q$5:$Q$1003,TEXT($B15,"0000")&amp;TAB_TIP_NC_ACLARACION)</f>
        <v>8</v>
      </c>
      <c r="L15" s="210">
        <f>SUMIF(NC!$B$5:$B$21,Bitácora!B15,NC!$P$5:$P$21)</f>
        <v>5</v>
      </c>
      <c r="M15" s="7">
        <v>7</v>
      </c>
      <c r="N15" s="7">
        <v>2</v>
      </c>
      <c r="O15" s="7">
        <v>1</v>
      </c>
      <c r="P15" s="208">
        <v>5.8823529411764705E-2</v>
      </c>
      <c r="Q15" s="208">
        <v>0.77777777777777779</v>
      </c>
      <c r="R15" s="7">
        <v>2</v>
      </c>
      <c r="S15" s="7">
        <v>0</v>
      </c>
      <c r="T15" s="7">
        <v>0</v>
      </c>
      <c r="U15" s="208">
        <v>1.2987012987012988E-2</v>
      </c>
      <c r="V15" s="208">
        <v>1</v>
      </c>
      <c r="W15" s="7">
        <v>2</v>
      </c>
      <c r="X15" s="7">
        <v>0</v>
      </c>
      <c r="Y15" s="7">
        <v>0</v>
      </c>
      <c r="Z15" s="208">
        <v>1.2987012987012988E-2</v>
      </c>
      <c r="AA15" s="208">
        <v>1</v>
      </c>
      <c r="AB15" s="7">
        <v>2</v>
      </c>
      <c r="AC15" s="7">
        <v>0</v>
      </c>
      <c r="AD15" s="7">
        <v>0</v>
      </c>
      <c r="AE15" s="208">
        <v>1.2987012987012988E-2</v>
      </c>
      <c r="AF15" s="208">
        <v>1</v>
      </c>
      <c r="AG15" s="7">
        <v>3</v>
      </c>
      <c r="AH15" s="7">
        <v>0</v>
      </c>
      <c r="AI15" s="7">
        <v>0</v>
      </c>
      <c r="AJ15" s="208">
        <v>1.948051948051948E-2</v>
      </c>
      <c r="AK15" s="208">
        <v>1</v>
      </c>
      <c r="AL15" s="7">
        <v>1</v>
      </c>
      <c r="AM15" s="7">
        <v>0</v>
      </c>
      <c r="AN15" s="7">
        <v>0</v>
      </c>
      <c r="AO15" s="208">
        <v>6.4935064935064939E-3</v>
      </c>
      <c r="AP15" s="208">
        <v>1</v>
      </c>
    </row>
    <row r="16" spans="1:42">
      <c r="B16" s="49">
        <v>3</v>
      </c>
      <c r="C16" s="49" t="s">
        <v>33</v>
      </c>
      <c r="D16" s="50" t="s">
        <v>39</v>
      </c>
      <c r="E16" s="146">
        <v>39696</v>
      </c>
      <c r="F16" s="50" t="s">
        <v>490</v>
      </c>
      <c r="G16" s="169">
        <v>0.12418300653594772</v>
      </c>
      <c r="H16" s="164">
        <v>0.89473684210526316</v>
      </c>
      <c r="I16" s="165">
        <f>COUNTIF(NC!$Q$5:$Q$1003,TEXT($B16,"0000")&amp;TAB_TIP_NC_ERROR)</f>
        <v>0</v>
      </c>
      <c r="J16" s="165">
        <f>COUNTIF(NC!$Q$5:$Q$1003,TEXT($B16,"0000")&amp;TAB_TIP_NC_OBSERVACION)</f>
        <v>1</v>
      </c>
      <c r="K16" s="206">
        <f>COUNTIF(NC!$Q$5:$Q$1003,TEXT($B16,"0000")&amp;TAB_TIP_NC_ACLARACION)</f>
        <v>1</v>
      </c>
      <c r="L16" s="210">
        <f>SUMIF(NC!$B$5:$B$21,Bitácora!B16,NC!$P$5:$P$21)</f>
        <v>1</v>
      </c>
      <c r="M16" s="7">
        <v>7</v>
      </c>
      <c r="N16" s="7">
        <v>2</v>
      </c>
      <c r="O16" s="7">
        <v>1</v>
      </c>
      <c r="P16" s="208">
        <v>5.8823529411764705E-2</v>
      </c>
      <c r="Q16" s="208">
        <v>0.77777777777777779</v>
      </c>
      <c r="R16" s="7">
        <v>2</v>
      </c>
      <c r="S16" s="7">
        <v>0</v>
      </c>
      <c r="T16" s="7">
        <v>0</v>
      </c>
      <c r="U16" s="208">
        <v>1.2987012987012988E-2</v>
      </c>
      <c r="V16" s="208">
        <v>1</v>
      </c>
      <c r="W16" s="7">
        <v>2</v>
      </c>
      <c r="X16" s="7">
        <v>0</v>
      </c>
      <c r="Y16" s="7">
        <v>0</v>
      </c>
      <c r="Z16" s="208">
        <v>1.2987012987012988E-2</v>
      </c>
      <c r="AA16" s="208">
        <v>1</v>
      </c>
      <c r="AB16" s="7">
        <v>2</v>
      </c>
      <c r="AC16" s="7">
        <v>0</v>
      </c>
      <c r="AD16" s="7">
        <v>0</v>
      </c>
      <c r="AE16" s="208">
        <v>1.2987012987012988E-2</v>
      </c>
      <c r="AF16" s="208">
        <v>1</v>
      </c>
      <c r="AG16" s="7">
        <v>3</v>
      </c>
      <c r="AH16" s="7">
        <v>0</v>
      </c>
      <c r="AI16" s="7">
        <v>0</v>
      </c>
      <c r="AJ16" s="208">
        <v>1.948051948051948E-2</v>
      </c>
      <c r="AK16" s="208">
        <v>1</v>
      </c>
      <c r="AL16" s="7">
        <v>1</v>
      </c>
      <c r="AM16" s="7">
        <v>0</v>
      </c>
      <c r="AN16" s="7">
        <v>0</v>
      </c>
      <c r="AO16" s="208">
        <v>6.4935064935064939E-3</v>
      </c>
      <c r="AP16" s="208">
        <v>1</v>
      </c>
    </row>
    <row r="17" spans="2:42">
      <c r="B17" s="49"/>
      <c r="C17" s="49"/>
      <c r="D17" s="50"/>
      <c r="E17" s="146"/>
      <c r="F17" s="50"/>
      <c r="G17" s="169"/>
      <c r="H17" s="164"/>
      <c r="I17" s="165"/>
      <c r="J17" s="165"/>
      <c r="K17" s="206"/>
      <c r="L17" s="206"/>
      <c r="M17" s="7"/>
      <c r="N17" s="7"/>
      <c r="O17" s="7"/>
      <c r="P17" s="208"/>
      <c r="Q17" s="7"/>
      <c r="R17" s="7"/>
      <c r="S17" s="7"/>
      <c r="T17" s="7"/>
      <c r="U17" s="208"/>
      <c r="V17" s="208"/>
      <c r="W17" s="7"/>
      <c r="X17" s="7"/>
      <c r="Y17" s="7"/>
      <c r="Z17" s="208"/>
      <c r="AA17" s="208"/>
      <c r="AB17" s="7"/>
      <c r="AC17" s="7"/>
      <c r="AD17" s="7"/>
      <c r="AE17" s="208"/>
      <c r="AF17" s="208"/>
      <c r="AG17" s="7"/>
      <c r="AH17" s="7"/>
      <c r="AI17" s="7"/>
      <c r="AJ17" s="208"/>
      <c r="AK17" s="208"/>
      <c r="AL17" s="7"/>
      <c r="AM17" s="7"/>
      <c r="AN17" s="7"/>
      <c r="AO17" s="208"/>
      <c r="AP17" s="208"/>
    </row>
    <row r="18" spans="2:42">
      <c r="B18" s="49"/>
      <c r="C18" s="49"/>
      <c r="D18" s="50"/>
      <c r="E18" s="50"/>
      <c r="F18" s="50"/>
      <c r="G18" s="169"/>
      <c r="H18" s="164"/>
      <c r="I18" s="165"/>
      <c r="J18" s="165"/>
      <c r="K18" s="206"/>
      <c r="L18" s="206"/>
      <c r="M18" s="7"/>
      <c r="N18" s="7"/>
      <c r="O18" s="7"/>
      <c r="P18" s="208"/>
      <c r="Q18" s="7"/>
      <c r="R18" s="7"/>
      <c r="S18" s="7"/>
      <c r="T18" s="7"/>
      <c r="U18" s="208"/>
      <c r="V18" s="208"/>
      <c r="W18" s="7"/>
      <c r="X18" s="7"/>
      <c r="Y18" s="7"/>
      <c r="Z18" s="208"/>
      <c r="AA18" s="208"/>
      <c r="AB18" s="7"/>
      <c r="AC18" s="7"/>
      <c r="AD18" s="7"/>
      <c r="AE18" s="208"/>
      <c r="AF18" s="208"/>
      <c r="AG18" s="7"/>
      <c r="AH18" s="7"/>
      <c r="AI18" s="7"/>
      <c r="AJ18" s="208"/>
      <c r="AK18" s="208"/>
      <c r="AL18" s="7"/>
      <c r="AM18" s="7"/>
      <c r="AN18" s="7"/>
      <c r="AO18" s="208"/>
      <c r="AP18" s="208"/>
    </row>
    <row r="19" spans="2:42">
      <c r="B19" s="49"/>
      <c r="C19" s="49"/>
      <c r="D19" s="50"/>
      <c r="E19" s="50"/>
      <c r="F19" s="50"/>
      <c r="G19" s="169"/>
      <c r="H19" s="164"/>
      <c r="I19" s="165"/>
      <c r="J19" s="165"/>
      <c r="K19" s="206"/>
      <c r="L19" s="206"/>
      <c r="M19" s="7"/>
      <c r="N19" s="7"/>
      <c r="O19" s="7"/>
      <c r="P19" s="208"/>
      <c r="Q19" s="7"/>
      <c r="R19" s="7"/>
      <c r="S19" s="7"/>
      <c r="T19" s="7"/>
      <c r="U19" s="208"/>
      <c r="V19" s="208"/>
      <c r="W19" s="7"/>
      <c r="X19" s="7"/>
      <c r="Y19" s="7"/>
      <c r="Z19" s="208"/>
      <c r="AA19" s="208"/>
      <c r="AB19" s="7"/>
      <c r="AC19" s="7"/>
      <c r="AD19" s="7"/>
      <c r="AE19" s="208"/>
      <c r="AF19" s="208"/>
      <c r="AG19" s="7"/>
      <c r="AH19" s="7"/>
      <c r="AI19" s="7"/>
      <c r="AJ19" s="208"/>
      <c r="AK19" s="208"/>
      <c r="AL19" s="7"/>
      <c r="AM19" s="7"/>
      <c r="AN19" s="7"/>
      <c r="AO19" s="208"/>
      <c r="AP19" s="208"/>
    </row>
    <row r="20" spans="2:42">
      <c r="B20" s="49"/>
      <c r="C20" s="49"/>
      <c r="D20" s="50"/>
      <c r="E20" s="50"/>
      <c r="F20" s="50"/>
      <c r="G20" s="169"/>
      <c r="H20" s="164"/>
      <c r="I20" s="165"/>
      <c r="J20" s="165"/>
      <c r="K20" s="206"/>
      <c r="L20" s="206"/>
      <c r="M20" s="7"/>
      <c r="N20" s="7"/>
      <c r="O20" s="7"/>
      <c r="P20" s="208"/>
      <c r="Q20" s="7"/>
      <c r="R20" s="7"/>
      <c r="S20" s="7"/>
      <c r="T20" s="7"/>
      <c r="U20" s="208"/>
      <c r="V20" s="208"/>
      <c r="W20" s="7"/>
      <c r="X20" s="7"/>
      <c r="Y20" s="7"/>
      <c r="Z20" s="208"/>
      <c r="AA20" s="208"/>
      <c r="AB20" s="7"/>
      <c r="AC20" s="7"/>
      <c r="AD20" s="7"/>
      <c r="AE20" s="208"/>
      <c r="AF20" s="208"/>
      <c r="AG20" s="7"/>
      <c r="AH20" s="7"/>
      <c r="AI20" s="7"/>
      <c r="AJ20" s="208"/>
      <c r="AK20" s="208"/>
      <c r="AL20" s="7"/>
      <c r="AM20" s="7"/>
      <c r="AN20" s="7"/>
      <c r="AO20" s="208"/>
      <c r="AP20" s="208"/>
    </row>
    <row r="21" spans="2:42">
      <c r="B21" s="49"/>
      <c r="C21" s="49"/>
      <c r="D21" s="50"/>
      <c r="E21" s="50"/>
      <c r="F21" s="50"/>
      <c r="G21" s="169"/>
      <c r="H21" s="164"/>
      <c r="I21" s="165"/>
      <c r="J21" s="165"/>
      <c r="K21" s="206"/>
      <c r="L21" s="206"/>
      <c r="M21" s="7"/>
      <c r="N21" s="7"/>
      <c r="O21" s="7"/>
      <c r="P21" s="208"/>
      <c r="Q21" s="7"/>
      <c r="R21" s="7"/>
      <c r="S21" s="7"/>
      <c r="T21" s="7"/>
      <c r="U21" s="208"/>
      <c r="V21" s="208"/>
      <c r="W21" s="7"/>
      <c r="X21" s="7"/>
      <c r="Y21" s="7"/>
      <c r="Z21" s="208"/>
      <c r="AA21" s="208"/>
      <c r="AB21" s="7"/>
      <c r="AC21" s="7"/>
      <c r="AD21" s="7"/>
      <c r="AE21" s="208"/>
      <c r="AF21" s="208"/>
      <c r="AG21" s="7"/>
      <c r="AH21" s="7"/>
      <c r="AI21" s="7"/>
      <c r="AJ21" s="208"/>
      <c r="AK21" s="208"/>
      <c r="AL21" s="7"/>
      <c r="AM21" s="7"/>
      <c r="AN21" s="7"/>
      <c r="AO21" s="208"/>
      <c r="AP21" s="208"/>
    </row>
    <row r="22" spans="2:42">
      <c r="B22" s="49"/>
      <c r="C22" s="49"/>
      <c r="D22" s="50"/>
      <c r="E22" s="50"/>
      <c r="F22" s="50"/>
      <c r="G22" s="169"/>
      <c r="H22" s="164"/>
      <c r="I22" s="165"/>
      <c r="J22" s="165"/>
      <c r="K22" s="206"/>
      <c r="L22" s="206"/>
      <c r="M22" s="7"/>
      <c r="N22" s="7"/>
      <c r="O22" s="7"/>
      <c r="P22" s="208"/>
      <c r="Q22" s="7"/>
      <c r="R22" s="7"/>
      <c r="S22" s="7"/>
      <c r="T22" s="7"/>
      <c r="U22" s="208"/>
      <c r="V22" s="208"/>
      <c r="W22" s="7"/>
      <c r="X22" s="7"/>
      <c r="Y22" s="7"/>
      <c r="Z22" s="208"/>
      <c r="AA22" s="208"/>
      <c r="AB22" s="7"/>
      <c r="AC22" s="7"/>
      <c r="AD22" s="7"/>
      <c r="AE22" s="208"/>
      <c r="AF22" s="208"/>
      <c r="AG22" s="7"/>
      <c r="AH22" s="7"/>
      <c r="AI22" s="7"/>
      <c r="AJ22" s="208"/>
      <c r="AK22" s="208"/>
      <c r="AL22" s="7"/>
      <c r="AM22" s="7"/>
      <c r="AN22" s="7"/>
      <c r="AO22" s="208"/>
      <c r="AP22" s="208"/>
    </row>
    <row r="23" spans="2:42">
      <c r="B23" s="49"/>
      <c r="C23" s="49"/>
      <c r="D23" s="50"/>
      <c r="E23" s="50"/>
      <c r="F23" s="50"/>
      <c r="G23" s="169"/>
      <c r="H23" s="164"/>
      <c r="I23" s="165"/>
      <c r="J23" s="165"/>
      <c r="K23" s="206"/>
      <c r="L23" s="206"/>
      <c r="M23" s="7"/>
      <c r="N23" s="7"/>
      <c r="O23" s="7"/>
      <c r="P23" s="208"/>
      <c r="Q23" s="7"/>
      <c r="R23" s="7"/>
      <c r="S23" s="7"/>
      <c r="T23" s="7"/>
      <c r="U23" s="208"/>
      <c r="V23" s="208"/>
      <c r="W23" s="7"/>
      <c r="X23" s="7"/>
      <c r="Y23" s="7"/>
      <c r="Z23" s="208"/>
      <c r="AA23" s="208"/>
      <c r="AB23" s="7"/>
      <c r="AC23" s="7"/>
      <c r="AD23" s="7"/>
      <c r="AE23" s="208"/>
      <c r="AF23" s="208"/>
      <c r="AG23" s="7"/>
      <c r="AH23" s="7"/>
      <c r="AI23" s="7"/>
      <c r="AJ23" s="208"/>
      <c r="AK23" s="208"/>
      <c r="AL23" s="7"/>
      <c r="AM23" s="7"/>
      <c r="AN23" s="7"/>
      <c r="AO23" s="208"/>
      <c r="AP23" s="208"/>
    </row>
    <row r="24" spans="2:42" ht="13.5" thickBot="1">
      <c r="B24" s="49"/>
      <c r="C24" s="49"/>
      <c r="D24" s="50"/>
      <c r="E24" s="50"/>
      <c r="F24" s="50"/>
      <c r="G24" s="170"/>
      <c r="H24" s="171"/>
      <c r="I24" s="172"/>
      <c r="J24" s="172"/>
      <c r="K24" s="207"/>
      <c r="L24" s="50"/>
      <c r="M24" s="7"/>
      <c r="N24" s="7"/>
      <c r="O24" s="7"/>
      <c r="P24" s="208"/>
      <c r="Q24" s="7"/>
      <c r="R24" s="7"/>
      <c r="S24" s="7"/>
      <c r="T24" s="7"/>
      <c r="U24" s="208"/>
      <c r="V24" s="208"/>
      <c r="W24" s="7"/>
      <c r="X24" s="7"/>
      <c r="Y24" s="7"/>
      <c r="Z24" s="208"/>
      <c r="AA24" s="208"/>
      <c r="AB24" s="7"/>
      <c r="AC24" s="7"/>
      <c r="AD24" s="7"/>
      <c r="AE24" s="208"/>
      <c r="AF24" s="208"/>
      <c r="AG24" s="7"/>
      <c r="AH24" s="7"/>
      <c r="AI24" s="7"/>
      <c r="AJ24" s="208"/>
      <c r="AK24" s="208"/>
      <c r="AL24" s="7"/>
      <c r="AM24" s="7"/>
      <c r="AN24" s="7"/>
      <c r="AO24" s="208"/>
      <c r="AP24" s="208"/>
    </row>
    <row r="25" spans="2:42">
      <c r="L25" s="211"/>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4" filterMode="1" enableFormatConditionsCalculation="0">
    <tabColor indexed="10"/>
    <outlinePr summaryBelow="0" summaryRight="0"/>
    <pageSetUpPr fitToPage="1"/>
  </sheetPr>
  <dimension ref="B2:AK168"/>
  <sheetViews>
    <sheetView showGridLines="0" workbookViewId="0">
      <pane ySplit="10" topLeftCell="A11" activePane="bottomLeft" state="frozen"/>
      <selection activeCell="B1" sqref="B1"/>
      <selection pane="bottomLeft" activeCell="E5" sqref="E5"/>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5.85546875" style="213" customWidth="1"/>
    <col min="8" max="8" width="4.7109375" customWidth="1"/>
    <col min="9" max="9" width="25.7109375" style="10" customWidth="1"/>
    <col min="10" max="10" width="8.5703125" customWidth="1"/>
    <col min="11" max="11" width="12.2851562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90" t="s">
        <v>29</v>
      </c>
      <c r="C2" s="291"/>
      <c r="D2" s="292"/>
      <c r="E2" s="202">
        <v>1</v>
      </c>
    </row>
    <row r="3" spans="2:37" ht="12.75" customHeight="1">
      <c r="B3" s="290" t="s">
        <v>517</v>
      </c>
      <c r="C3" s="291"/>
      <c r="D3" s="292"/>
      <c r="E3" s="202" t="s">
        <v>597</v>
      </c>
      <c r="H3" s="286" t="s">
        <v>494</v>
      </c>
      <c r="I3" s="287"/>
      <c r="J3" s="201">
        <f>COUNTIF($N$12:$N$168,"Si")</f>
        <v>20</v>
      </c>
      <c r="AE3" s="111"/>
      <c r="AF3" s="139" t="s">
        <v>202</v>
      </c>
      <c r="AG3" s="139" t="s">
        <v>453</v>
      </c>
      <c r="AH3" s="139" t="s">
        <v>283</v>
      </c>
      <c r="AI3" s="139" t="s">
        <v>584</v>
      </c>
      <c r="AJ3" s="139" t="s">
        <v>28</v>
      </c>
      <c r="AK3" s="139" t="s">
        <v>27</v>
      </c>
    </row>
    <row r="4" spans="2:37" ht="12" customHeight="1">
      <c r="B4" s="290" t="s">
        <v>292</v>
      </c>
      <c r="C4" s="291"/>
      <c r="D4" s="292"/>
      <c r="E4" s="202" t="s">
        <v>598</v>
      </c>
      <c r="H4" s="286" t="s">
        <v>495</v>
      </c>
      <c r="I4" s="287"/>
      <c r="J4" s="201">
        <f>COUNTIF($N$12:$N$168,"No")</f>
        <v>3</v>
      </c>
      <c r="AE4" s="135" t="s">
        <v>494</v>
      </c>
      <c r="AF4" s="136">
        <f t="shared" ref="AF4:AK4" si="0">COUNTIF(X12:X168,"Si")</f>
        <v>8</v>
      </c>
      <c r="AG4" s="136">
        <f t="shared" si="0"/>
        <v>3</v>
      </c>
      <c r="AH4" s="136">
        <f t="shared" si="0"/>
        <v>3</v>
      </c>
      <c r="AI4" s="136">
        <f t="shared" si="0"/>
        <v>2</v>
      </c>
      <c r="AJ4" s="136">
        <f t="shared" si="0"/>
        <v>3</v>
      </c>
      <c r="AK4" s="136">
        <f t="shared" si="0"/>
        <v>1</v>
      </c>
    </row>
    <row r="5" spans="2:37" ht="12.75" customHeight="1">
      <c r="B5" s="290" t="s">
        <v>290</v>
      </c>
      <c r="C5" s="291"/>
      <c r="D5" s="292"/>
      <c r="E5" s="203">
        <v>42557</v>
      </c>
      <c r="H5" s="286" t="s">
        <v>496</v>
      </c>
      <c r="I5" s="287"/>
      <c r="J5" s="201">
        <f>COUNTIF($N$14:$N$168,"NA")</f>
        <v>1</v>
      </c>
      <c r="AE5" s="135" t="s">
        <v>495</v>
      </c>
      <c r="AF5" s="136">
        <f t="shared" ref="AF5:AK5" si="1">COUNTIF(X12:X168,"No")</f>
        <v>2</v>
      </c>
      <c r="AG5" s="136">
        <f t="shared" si="1"/>
        <v>0</v>
      </c>
      <c r="AH5" s="136">
        <f t="shared" si="1"/>
        <v>0</v>
      </c>
      <c r="AI5" s="136">
        <f t="shared" si="1"/>
        <v>0</v>
      </c>
      <c r="AJ5" s="136">
        <f t="shared" si="1"/>
        <v>1</v>
      </c>
      <c r="AK5" s="136">
        <f t="shared" si="1"/>
        <v>0</v>
      </c>
    </row>
    <row r="6" spans="2:37" ht="12.75" customHeight="1">
      <c r="B6" s="290" t="s">
        <v>17</v>
      </c>
      <c r="C6" s="291"/>
      <c r="D6" s="292"/>
      <c r="E6" s="202" t="s">
        <v>439</v>
      </c>
      <c r="H6" s="36" t="s">
        <v>221</v>
      </c>
      <c r="I6" s="36"/>
      <c r="J6" s="199">
        <f>((J3+J4))/(J3+J4+ COUNTIF($N$14:$N$168,""))</f>
        <v>0.15032679738562091</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218</v>
      </c>
      <c r="I7" s="36"/>
      <c r="J7" s="199">
        <f>J3/(J3+J4)</f>
        <v>0.86956521739130432</v>
      </c>
      <c r="AE7" s="135" t="s">
        <v>221</v>
      </c>
      <c r="AF7" s="137">
        <f>((AF4+AF5))/(AF4+AF5+ COUNTIF($X$12:$X$168,1))</f>
        <v>6.535947712418301E-2</v>
      </c>
      <c r="AG7" s="137">
        <f>((AG4+AG5))/(AG4+AG5+ COUNTIF($Y$12:$Y$168,1))</f>
        <v>1.948051948051948E-2</v>
      </c>
      <c r="AH7" s="137">
        <f>((AH4+AH5))/(AH4+AH5+ COUNTIF($Z$12:$Z$168,1))</f>
        <v>1.948051948051948E-2</v>
      </c>
      <c r="AI7" s="137">
        <f>((AI4+AI5))/(AI4+AI5+ COUNTIF($AA$12:$AA168,1))</f>
        <v>1.2987012987012988E-2</v>
      </c>
      <c r="AJ7" s="137">
        <f>((AJ4+AJ5))/(AJ4+AJ5+ COUNTIF($AB$12:$AB$168,1))</f>
        <v>2.5974025974025976E-2</v>
      </c>
      <c r="AK7" s="137">
        <f>((AK4+AK5))/(AK4+AK5+ COUNTIF(AC12:AC168,1))</f>
        <v>6.4935064935064939E-3</v>
      </c>
    </row>
    <row r="8" spans="2:37" ht="14.25" customHeight="1">
      <c r="L8" s="63"/>
      <c r="M8" s="63"/>
      <c r="N8" s="64"/>
      <c r="O8" s="64"/>
      <c r="P8" s="64"/>
      <c r="Q8" s="65"/>
      <c r="R8" s="66"/>
      <c r="AE8" s="138" t="s">
        <v>218</v>
      </c>
      <c r="AF8" s="137">
        <f t="shared" ref="AF8:AK8" si="3">AF4/(AF4+AF5)</f>
        <v>0.8</v>
      </c>
      <c r="AG8" s="137">
        <f t="shared" si="3"/>
        <v>1</v>
      </c>
      <c r="AH8" s="137">
        <f>AH4/(AH4+AH5)</f>
        <v>1</v>
      </c>
      <c r="AI8" s="137">
        <f t="shared" si="3"/>
        <v>1</v>
      </c>
      <c r="AJ8" s="137">
        <f t="shared" si="3"/>
        <v>0.75</v>
      </c>
      <c r="AK8" s="137">
        <f t="shared" si="3"/>
        <v>1</v>
      </c>
    </row>
    <row r="9" spans="2:37">
      <c r="B9" s="288" t="s">
        <v>171</v>
      </c>
      <c r="C9" s="288" t="s">
        <v>209</v>
      </c>
      <c r="D9" s="293" t="s">
        <v>497</v>
      </c>
      <c r="E9" s="293"/>
      <c r="F9" s="39"/>
      <c r="G9" s="294" t="s">
        <v>22</v>
      </c>
      <c r="H9" s="293" t="s">
        <v>203</v>
      </c>
      <c r="I9" s="293"/>
      <c r="J9" s="288" t="s">
        <v>206</v>
      </c>
      <c r="K9" s="288" t="s">
        <v>198</v>
      </c>
      <c r="L9" s="288" t="s">
        <v>330</v>
      </c>
      <c r="M9" s="288" t="s">
        <v>421</v>
      </c>
      <c r="N9" s="288" t="s">
        <v>332</v>
      </c>
      <c r="O9" s="288"/>
      <c r="P9" s="288" t="s">
        <v>493</v>
      </c>
      <c r="Q9" s="288" t="s">
        <v>207</v>
      </c>
      <c r="R9" s="288" t="s">
        <v>188</v>
      </c>
      <c r="S9" s="288" t="s">
        <v>189</v>
      </c>
      <c r="T9" s="288" t="s">
        <v>190</v>
      </c>
      <c r="U9" s="288" t="s">
        <v>208</v>
      </c>
      <c r="V9" s="288" t="s">
        <v>374</v>
      </c>
    </row>
    <row r="10" spans="2:37" ht="57.75" hidden="1" customHeight="1" thickBot="1">
      <c r="B10" s="289"/>
      <c r="C10" s="289"/>
      <c r="D10" s="71" t="s">
        <v>171</v>
      </c>
      <c r="E10" s="71" t="s">
        <v>325</v>
      </c>
      <c r="F10" s="71" t="s">
        <v>204</v>
      </c>
      <c r="G10" s="295"/>
      <c r="H10" s="71" t="s">
        <v>171</v>
      </c>
      <c r="I10" s="72" t="s">
        <v>325</v>
      </c>
      <c r="J10" s="289"/>
      <c r="K10" s="289"/>
      <c r="L10" s="289"/>
      <c r="M10" s="289"/>
      <c r="N10" s="289"/>
      <c r="O10" s="289"/>
      <c r="P10" s="289"/>
      <c r="Q10" s="289"/>
      <c r="R10" s="289"/>
      <c r="S10" s="289"/>
      <c r="T10" s="289"/>
      <c r="U10" s="289"/>
      <c r="V10" s="289"/>
      <c r="X10" s="125" t="s">
        <v>202</v>
      </c>
      <c r="Y10" s="125" t="s">
        <v>453</v>
      </c>
      <c r="Z10" s="125" t="s">
        <v>283</v>
      </c>
      <c r="AA10" s="125" t="s">
        <v>584</v>
      </c>
      <c r="AB10" s="125" t="s">
        <v>28</v>
      </c>
      <c r="AC10" s="125" t="s">
        <v>27</v>
      </c>
    </row>
    <row r="11" spans="2:37" ht="36.75" hidden="1" customHeight="1" thickBot="1">
      <c r="B11" s="104" t="s">
        <v>504</v>
      </c>
      <c r="C11" s="93"/>
      <c r="D11" s="93"/>
      <c r="E11" s="93"/>
      <c r="F11" s="93"/>
      <c r="G11" s="214"/>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c r="B12" s="73">
        <v>1</v>
      </c>
      <c r="C12" s="73" t="s">
        <v>390</v>
      </c>
      <c r="D12" s="73">
        <v>1</v>
      </c>
      <c r="E12" s="73" t="s">
        <v>389</v>
      </c>
      <c r="F12" s="74"/>
      <c r="G12" s="215" t="s">
        <v>202</v>
      </c>
      <c r="H12" s="73"/>
      <c r="I12" s="73"/>
      <c r="J12" s="73" t="s">
        <v>576</v>
      </c>
      <c r="K12" s="73" t="s">
        <v>536</v>
      </c>
      <c r="L12" s="75" t="s">
        <v>331</v>
      </c>
      <c r="M12" s="76">
        <v>1</v>
      </c>
      <c r="N12" s="77" t="s">
        <v>223</v>
      </c>
      <c r="O12" s="78" t="str">
        <f t="shared" ref="O12:O92" si="4">IF(N12="No","û",IF(N12="Si","ü",IF(N12="NA","l","")))</f>
        <v>û</v>
      </c>
      <c r="P12" s="73" t="s">
        <v>503</v>
      </c>
      <c r="Q12" s="73" t="s">
        <v>526</v>
      </c>
      <c r="R12" s="73"/>
      <c r="S12" s="73"/>
      <c r="T12" s="73"/>
      <c r="U12" s="73" t="s">
        <v>78</v>
      </c>
      <c r="V12" s="73"/>
      <c r="W12" s="54"/>
      <c r="X12" s="126" t="str">
        <f>IF(($G12="PRO")*AND(N12&lt;&gt;""),$N12, 1)</f>
        <v>No</v>
      </c>
      <c r="Y12" s="126">
        <f>IF(($G12="REQM")*AND(N12&lt;&gt;""),$N12, 1)</f>
        <v>1</v>
      </c>
      <c r="Z12" s="126">
        <f>IF(($G12="ING")*AND(N12&lt;&gt;""),$N12, 1)</f>
        <v>1</v>
      </c>
      <c r="AA12" s="126">
        <f>IF(($G12="PPQA")*AND(N12&lt;&gt;""),$N12, 1)</f>
        <v>1</v>
      </c>
      <c r="AB12" s="126">
        <f>IF(($G12="CM")*AND(N12&lt;&gt;""),$N12, 1)</f>
        <v>1</v>
      </c>
      <c r="AC12" s="126">
        <f>IF(($G12="MA")*AND(N12&lt;&gt;""),$N12, 1)</f>
        <v>1</v>
      </c>
    </row>
    <row r="13" spans="2:37" s="40" customFormat="1" ht="96" hidden="1" outlineLevel="1">
      <c r="B13" s="73">
        <f>B12+1</f>
        <v>2</v>
      </c>
      <c r="C13" s="73" t="s">
        <v>390</v>
      </c>
      <c r="D13" s="73">
        <v>2</v>
      </c>
      <c r="E13" s="73" t="s">
        <v>533</v>
      </c>
      <c r="F13" s="74"/>
      <c r="G13" s="215"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IF(($G13="PRO")*AND(N13&lt;&gt;""),$N13, 1)</f>
        <v>Si</v>
      </c>
      <c r="Y13" s="126">
        <f t="shared" ref="Y13:Y76" si="5">IF(($G13="REQM")*AND(N13&lt;&gt;""),$N13, 1)</f>
        <v>1</v>
      </c>
      <c r="Z13" s="126">
        <f t="shared" ref="Z13:Z76" si="6">IF(($G13="ING")*AND(N13&lt;&gt;""),$N13, 1)</f>
        <v>1</v>
      </c>
      <c r="AA13" s="126">
        <f t="shared" ref="AA13:AA76" si="7">IF(($G13="PPQA")*AND(N13&lt;&gt;""),$N13, 1)</f>
        <v>1</v>
      </c>
      <c r="AB13" s="126">
        <f t="shared" ref="AB13:AB34" si="8">IF(($G13="CM")*AND(N13&lt;&gt;""),$N13, 1)</f>
        <v>1</v>
      </c>
      <c r="AC13" s="126">
        <f t="shared" ref="AC13:AC76" si="9">IF(($G13="MA")*AND(N13&lt;&gt;""),$N13, 1)</f>
        <v>1</v>
      </c>
    </row>
    <row r="14" spans="2:37" s="40" customFormat="1" ht="34.5" outlineLevel="1">
      <c r="B14" s="73">
        <f t="shared" ref="B14:B46" si="10">B13+1</f>
        <v>3</v>
      </c>
      <c r="C14" s="52" t="s">
        <v>390</v>
      </c>
      <c r="D14" s="52">
        <v>3</v>
      </c>
      <c r="E14" s="52" t="s">
        <v>391</v>
      </c>
      <c r="F14" s="53"/>
      <c r="G14" s="215" t="s">
        <v>202</v>
      </c>
      <c r="H14" s="52"/>
      <c r="I14" s="52"/>
      <c r="J14" s="52" t="s">
        <v>182</v>
      </c>
      <c r="K14" s="52" t="s">
        <v>576</v>
      </c>
      <c r="L14" s="52" t="s">
        <v>331</v>
      </c>
      <c r="M14" s="68">
        <v>2</v>
      </c>
      <c r="N14" s="67" t="s">
        <v>223</v>
      </c>
      <c r="O14" s="78" t="str">
        <f t="shared" si="4"/>
        <v>û</v>
      </c>
      <c r="P14" s="52" t="s">
        <v>528</v>
      </c>
      <c r="Q14" s="52" t="s">
        <v>527</v>
      </c>
      <c r="R14" s="52" t="s">
        <v>390</v>
      </c>
      <c r="S14" s="52"/>
      <c r="T14" s="52"/>
      <c r="U14" s="52" t="s">
        <v>78</v>
      </c>
      <c r="V14" s="52"/>
      <c r="W14" s="54"/>
      <c r="X14" s="126" t="str">
        <f>IF(($G14="PRO")*AND(N14&lt;&gt;""),$N14, 1)</f>
        <v>No</v>
      </c>
      <c r="Y14" s="126">
        <f t="shared" si="5"/>
        <v>1</v>
      </c>
      <c r="Z14" s="126">
        <f t="shared" si="6"/>
        <v>1</v>
      </c>
      <c r="AA14" s="126">
        <f t="shared" si="7"/>
        <v>1</v>
      </c>
      <c r="AB14" s="126">
        <f t="shared" si="8"/>
        <v>1</v>
      </c>
      <c r="AC14" s="126">
        <f t="shared" si="9"/>
        <v>1</v>
      </c>
    </row>
    <row r="15" spans="2:37" s="40" customFormat="1" ht="34.5" hidden="1" outlineLevel="1">
      <c r="B15" s="73">
        <f t="shared" si="10"/>
        <v>4</v>
      </c>
      <c r="C15" s="52" t="s">
        <v>390</v>
      </c>
      <c r="D15" s="52">
        <v>3</v>
      </c>
      <c r="E15" s="52" t="s">
        <v>391</v>
      </c>
      <c r="F15" s="53"/>
      <c r="G15" s="215" t="s">
        <v>28</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IF(($G15="PRO")*AND(N15&lt;&gt;""),$N15, 1)</f>
        <v>1</v>
      </c>
      <c r="Y15" s="126">
        <f t="shared" si="5"/>
        <v>1</v>
      </c>
      <c r="Z15" s="126">
        <f t="shared" si="6"/>
        <v>1</v>
      </c>
      <c r="AA15" s="126">
        <f t="shared" si="7"/>
        <v>1</v>
      </c>
      <c r="AB15" s="126">
        <f t="shared" si="8"/>
        <v>1</v>
      </c>
      <c r="AC15" s="126">
        <f t="shared" si="9"/>
        <v>1</v>
      </c>
    </row>
    <row r="16" spans="2:37" s="40" customFormat="1" ht="34.5" hidden="1" outlineLevel="1">
      <c r="B16" s="73">
        <f t="shared" si="10"/>
        <v>5</v>
      </c>
      <c r="C16" s="52" t="s">
        <v>390</v>
      </c>
      <c r="D16" s="52">
        <v>3</v>
      </c>
      <c r="E16" s="52" t="s">
        <v>391</v>
      </c>
      <c r="F16" s="53"/>
      <c r="G16" s="215"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IF(($G16="PRO")*AND(N16&lt;&gt;""),$N16, 1)</f>
        <v>Si</v>
      </c>
      <c r="Y16" s="126">
        <f t="shared" si="5"/>
        <v>1</v>
      </c>
      <c r="Z16" s="126">
        <f t="shared" si="6"/>
        <v>1</v>
      </c>
      <c r="AA16" s="126">
        <f t="shared" si="7"/>
        <v>1</v>
      </c>
      <c r="AB16" s="126">
        <f t="shared" si="8"/>
        <v>1</v>
      </c>
      <c r="AC16" s="126">
        <f t="shared" si="9"/>
        <v>1</v>
      </c>
    </row>
    <row r="17" spans="2:29" s="40" customFormat="1" ht="36" hidden="1" outlineLevel="1">
      <c r="B17" s="73">
        <f t="shared" si="10"/>
        <v>6</v>
      </c>
      <c r="C17" s="52" t="s">
        <v>390</v>
      </c>
      <c r="D17" s="52">
        <v>3</v>
      </c>
      <c r="E17" s="52" t="s">
        <v>391</v>
      </c>
      <c r="F17" s="53"/>
      <c r="G17" s="215"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ref="X17:X31" si="11">IF(($G17="PRO")*AND(N17&lt;&gt;""),$N17, 1)</f>
        <v>1</v>
      </c>
      <c r="Y17" s="126">
        <f t="shared" si="5"/>
        <v>1</v>
      </c>
      <c r="Z17" s="126">
        <f t="shared" si="6"/>
        <v>1</v>
      </c>
      <c r="AA17" s="126" t="str">
        <f t="shared" si="7"/>
        <v>Si</v>
      </c>
      <c r="AB17" s="126">
        <f t="shared" si="8"/>
        <v>1</v>
      </c>
      <c r="AC17" s="126">
        <f t="shared" si="9"/>
        <v>1</v>
      </c>
    </row>
    <row r="18" spans="2:29" s="40" customFormat="1" ht="36" hidden="1" outlineLevel="1">
      <c r="B18" s="73">
        <f t="shared" si="10"/>
        <v>7</v>
      </c>
      <c r="C18" s="52" t="s">
        <v>390</v>
      </c>
      <c r="D18" s="52">
        <v>3</v>
      </c>
      <c r="E18" s="52" t="s">
        <v>391</v>
      </c>
      <c r="F18" s="53"/>
      <c r="G18" s="215"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11"/>
        <v>1</v>
      </c>
      <c r="Y18" s="126">
        <f t="shared" si="5"/>
        <v>1</v>
      </c>
      <c r="Z18" s="126">
        <f t="shared" si="6"/>
        <v>1</v>
      </c>
      <c r="AA18" s="126">
        <f t="shared" si="7"/>
        <v>1</v>
      </c>
      <c r="AB18" s="126">
        <f t="shared" si="8"/>
        <v>1</v>
      </c>
      <c r="AC18" s="126" t="str">
        <f t="shared" si="9"/>
        <v>Si</v>
      </c>
    </row>
    <row r="19" spans="2:29" s="40" customFormat="1" ht="36" hidden="1" outlineLevel="1">
      <c r="B19" s="73">
        <f t="shared" si="10"/>
        <v>8</v>
      </c>
      <c r="C19" s="52" t="s">
        <v>390</v>
      </c>
      <c r="D19" s="52">
        <v>3</v>
      </c>
      <c r="E19" s="52" t="s">
        <v>391</v>
      </c>
      <c r="F19" s="53"/>
      <c r="G19" s="215"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11"/>
        <v>1</v>
      </c>
      <c r="Y19" s="126">
        <f t="shared" si="5"/>
        <v>1</v>
      </c>
      <c r="Z19" s="126" t="str">
        <f t="shared" si="6"/>
        <v>Si</v>
      </c>
      <c r="AA19" s="126">
        <f t="shared" si="7"/>
        <v>1</v>
      </c>
      <c r="AB19" s="126">
        <f t="shared" si="8"/>
        <v>1</v>
      </c>
      <c r="AC19" s="126">
        <f t="shared" si="9"/>
        <v>1</v>
      </c>
    </row>
    <row r="20" spans="2:29" s="40" customFormat="1" ht="34.5" hidden="1" outlineLevel="1">
      <c r="B20" s="73">
        <f t="shared" si="10"/>
        <v>9</v>
      </c>
      <c r="C20" s="52" t="s">
        <v>390</v>
      </c>
      <c r="D20" s="52">
        <v>3</v>
      </c>
      <c r="E20" s="52" t="s">
        <v>391</v>
      </c>
      <c r="F20" s="53"/>
      <c r="G20" s="215"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11"/>
        <v>1</v>
      </c>
      <c r="Y20" s="126">
        <f t="shared" si="5"/>
        <v>1</v>
      </c>
      <c r="Z20" s="126">
        <f t="shared" si="6"/>
        <v>1</v>
      </c>
      <c r="AA20" s="126">
        <f t="shared" si="7"/>
        <v>1</v>
      </c>
      <c r="AB20" s="126" t="str">
        <f t="shared" si="8"/>
        <v>Si</v>
      </c>
      <c r="AC20" s="126">
        <f t="shared" si="9"/>
        <v>1</v>
      </c>
    </row>
    <row r="21" spans="2:29" s="40" customFormat="1" ht="34.5" hidden="1" outlineLevel="1">
      <c r="B21" s="73">
        <f t="shared" si="10"/>
        <v>10</v>
      </c>
      <c r="C21" s="52" t="s">
        <v>390</v>
      </c>
      <c r="D21" s="52">
        <v>3</v>
      </c>
      <c r="E21" s="52" t="s">
        <v>391</v>
      </c>
      <c r="F21" s="53"/>
      <c r="G21" s="215"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11"/>
        <v>1</v>
      </c>
      <c r="Y21" s="126">
        <f t="shared" si="5"/>
        <v>1</v>
      </c>
      <c r="Z21" s="126">
        <f t="shared" si="6"/>
        <v>1</v>
      </c>
      <c r="AA21" s="126">
        <f t="shared" si="7"/>
        <v>1</v>
      </c>
      <c r="AB21" s="126">
        <f t="shared" si="8"/>
        <v>1</v>
      </c>
      <c r="AC21" s="126">
        <f t="shared" si="9"/>
        <v>1</v>
      </c>
    </row>
    <row r="22" spans="2:29" s="40" customFormat="1" ht="34.5" hidden="1" outlineLevel="1">
      <c r="B22" s="73">
        <f t="shared" si="10"/>
        <v>11</v>
      </c>
      <c r="C22" s="52" t="s">
        <v>390</v>
      </c>
      <c r="D22" s="52">
        <v>3</v>
      </c>
      <c r="E22" s="52" t="s">
        <v>391</v>
      </c>
      <c r="F22" s="53"/>
      <c r="G22" s="215"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11"/>
        <v>1</v>
      </c>
      <c r="Y22" s="126">
        <f t="shared" si="5"/>
        <v>1</v>
      </c>
      <c r="Z22" s="126">
        <f t="shared" si="6"/>
        <v>1</v>
      </c>
      <c r="AA22" s="126">
        <f t="shared" si="7"/>
        <v>1</v>
      </c>
      <c r="AB22" s="126">
        <f t="shared" si="8"/>
        <v>1</v>
      </c>
      <c r="AC22" s="126">
        <f t="shared" si="9"/>
        <v>1</v>
      </c>
    </row>
    <row r="23" spans="2:29" s="40" customFormat="1" ht="48" hidden="1" outlineLevel="1">
      <c r="B23" s="73">
        <f t="shared" si="10"/>
        <v>12</v>
      </c>
      <c r="C23" s="52" t="s">
        <v>390</v>
      </c>
      <c r="D23" s="52">
        <v>3</v>
      </c>
      <c r="E23" s="52" t="s">
        <v>391</v>
      </c>
      <c r="F23" s="53"/>
      <c r="G23" s="215"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11"/>
        <v>1</v>
      </c>
      <c r="Y23" s="126">
        <f t="shared" si="5"/>
        <v>1</v>
      </c>
      <c r="Z23" s="126">
        <f t="shared" si="6"/>
        <v>1</v>
      </c>
      <c r="AA23" s="126">
        <f t="shared" si="7"/>
        <v>1</v>
      </c>
      <c r="AB23" s="126">
        <f t="shared" si="8"/>
        <v>1</v>
      </c>
      <c r="AC23" s="126">
        <f t="shared" si="9"/>
        <v>1</v>
      </c>
    </row>
    <row r="24" spans="2:29" s="40" customFormat="1" ht="48" outlineLevel="1">
      <c r="B24" s="73">
        <f t="shared" si="10"/>
        <v>13</v>
      </c>
      <c r="C24" s="52" t="s">
        <v>390</v>
      </c>
      <c r="D24" s="52">
        <v>3</v>
      </c>
      <c r="E24" s="52" t="s">
        <v>392</v>
      </c>
      <c r="F24" s="53"/>
      <c r="G24" s="215" t="s">
        <v>202</v>
      </c>
      <c r="H24" s="52"/>
      <c r="I24" s="52"/>
      <c r="J24" s="52" t="s">
        <v>182</v>
      </c>
      <c r="K24" s="52" t="s">
        <v>537</v>
      </c>
      <c r="L24" s="52" t="s">
        <v>331</v>
      </c>
      <c r="M24" s="68">
        <v>1</v>
      </c>
      <c r="N24" s="67" t="s">
        <v>220</v>
      </c>
      <c r="O24" s="78" t="str">
        <f t="shared" si="4"/>
        <v>ü</v>
      </c>
      <c r="P24" s="52" t="s">
        <v>380</v>
      </c>
      <c r="Q24" s="52" t="s">
        <v>393</v>
      </c>
      <c r="R24" s="52" t="s">
        <v>390</v>
      </c>
      <c r="S24" s="52"/>
      <c r="T24" s="52"/>
      <c r="U24" s="52" t="s">
        <v>78</v>
      </c>
      <c r="V24" s="52"/>
      <c r="W24" s="54"/>
      <c r="X24" s="126" t="str">
        <f t="shared" si="11"/>
        <v>Si</v>
      </c>
      <c r="Y24" s="126">
        <f t="shared" si="5"/>
        <v>1</v>
      </c>
      <c r="Z24" s="126">
        <f t="shared" si="6"/>
        <v>1</v>
      </c>
      <c r="AA24" s="126">
        <f t="shared" si="7"/>
        <v>1</v>
      </c>
      <c r="AB24" s="126">
        <f t="shared" si="8"/>
        <v>1</v>
      </c>
      <c r="AC24" s="126">
        <f t="shared" si="9"/>
        <v>1</v>
      </c>
    </row>
    <row r="25" spans="2:29" s="40" customFormat="1" ht="60" outlineLevel="1">
      <c r="B25" s="73">
        <f t="shared" si="10"/>
        <v>14</v>
      </c>
      <c r="C25" s="52" t="s">
        <v>390</v>
      </c>
      <c r="D25" s="52">
        <v>3</v>
      </c>
      <c r="E25" s="52" t="s">
        <v>456</v>
      </c>
      <c r="F25" s="53"/>
      <c r="G25" s="215" t="s">
        <v>202</v>
      </c>
      <c r="H25" s="52"/>
      <c r="I25" s="52"/>
      <c r="J25" s="52" t="s">
        <v>182</v>
      </c>
      <c r="K25" s="52" t="s">
        <v>537</v>
      </c>
      <c r="L25" s="52" t="s">
        <v>331</v>
      </c>
      <c r="M25" s="68">
        <v>3</v>
      </c>
      <c r="N25" s="67" t="s">
        <v>15</v>
      </c>
      <c r="O25" s="78" t="str">
        <f t="shared" si="4"/>
        <v>l</v>
      </c>
      <c r="P25" s="52" t="s">
        <v>381</v>
      </c>
      <c r="Q25" s="52" t="s">
        <v>394</v>
      </c>
      <c r="R25" s="52" t="s">
        <v>390</v>
      </c>
      <c r="S25" s="52"/>
      <c r="T25" s="52"/>
      <c r="U25" s="52" t="s">
        <v>78</v>
      </c>
      <c r="V25" s="52"/>
      <c r="W25" s="54"/>
      <c r="X25" s="126" t="str">
        <f t="shared" si="11"/>
        <v>NA</v>
      </c>
      <c r="Y25" s="126">
        <f t="shared" si="5"/>
        <v>1</v>
      </c>
      <c r="Z25" s="126">
        <f t="shared" si="6"/>
        <v>1</v>
      </c>
      <c r="AA25" s="126">
        <f t="shared" si="7"/>
        <v>1</v>
      </c>
      <c r="AB25" s="126">
        <f t="shared" si="8"/>
        <v>1</v>
      </c>
      <c r="AC25" s="126">
        <f t="shared" si="9"/>
        <v>1</v>
      </c>
    </row>
    <row r="26" spans="2:29" s="40" customFormat="1" ht="36" outlineLevel="1">
      <c r="B26" s="73">
        <f t="shared" si="10"/>
        <v>15</v>
      </c>
      <c r="C26" s="52" t="s">
        <v>390</v>
      </c>
      <c r="D26" s="52">
        <v>3</v>
      </c>
      <c r="E26" s="52" t="s">
        <v>178</v>
      </c>
      <c r="F26" s="52"/>
      <c r="G26" s="215" t="s">
        <v>202</v>
      </c>
      <c r="H26" s="52"/>
      <c r="I26" s="52"/>
      <c r="J26" s="52" t="s">
        <v>182</v>
      </c>
      <c r="K26" s="52" t="s">
        <v>576</v>
      </c>
      <c r="L26" s="52" t="s">
        <v>331</v>
      </c>
      <c r="M26" s="68"/>
      <c r="N26" s="67"/>
      <c r="O26" s="78" t="str">
        <f t="shared" si="4"/>
        <v/>
      </c>
      <c r="P26" s="52" t="s">
        <v>382</v>
      </c>
      <c r="Q26" s="52" t="s">
        <v>395</v>
      </c>
      <c r="R26" s="52" t="s">
        <v>390</v>
      </c>
      <c r="S26" s="52"/>
      <c r="T26" s="52"/>
      <c r="U26" s="52" t="s">
        <v>78</v>
      </c>
      <c r="V26" s="52"/>
      <c r="W26" s="54"/>
      <c r="X26" s="126">
        <f t="shared" si="11"/>
        <v>1</v>
      </c>
      <c r="Y26" s="126">
        <f t="shared" si="5"/>
        <v>1</v>
      </c>
      <c r="Z26" s="126">
        <f t="shared" si="6"/>
        <v>1</v>
      </c>
      <c r="AA26" s="126">
        <f t="shared" si="7"/>
        <v>1</v>
      </c>
      <c r="AB26" s="126">
        <f t="shared" si="8"/>
        <v>1</v>
      </c>
      <c r="AC26" s="126">
        <f t="shared" si="9"/>
        <v>1</v>
      </c>
    </row>
    <row r="27" spans="2:29" s="40" customFormat="1" ht="96" hidden="1" outlineLevel="1">
      <c r="B27" s="73">
        <f t="shared" si="10"/>
        <v>16</v>
      </c>
      <c r="C27" s="52" t="s">
        <v>390</v>
      </c>
      <c r="D27" s="52">
        <v>2.4</v>
      </c>
      <c r="E27" s="52" t="s">
        <v>178</v>
      </c>
      <c r="F27" s="52"/>
      <c r="G27" s="215" t="s">
        <v>202</v>
      </c>
      <c r="H27" s="52">
        <v>1</v>
      </c>
      <c r="I27" s="55" t="s">
        <v>274</v>
      </c>
      <c r="J27" s="52" t="s">
        <v>182</v>
      </c>
      <c r="K27" s="52" t="s">
        <v>174</v>
      </c>
      <c r="L27" s="52" t="s">
        <v>331</v>
      </c>
      <c r="M27" s="68">
        <v>1</v>
      </c>
      <c r="N27" s="67" t="s">
        <v>220</v>
      </c>
      <c r="O27" s="78" t="str">
        <f t="shared" si="4"/>
        <v>ü</v>
      </c>
      <c r="P27" s="52" t="s">
        <v>76</v>
      </c>
      <c r="Q27" s="52" t="s">
        <v>80</v>
      </c>
      <c r="R27" s="52"/>
      <c r="S27" s="52"/>
      <c r="T27" s="52"/>
      <c r="U27" s="52" t="s">
        <v>75</v>
      </c>
      <c r="V27" s="52"/>
      <c r="W27" s="54"/>
      <c r="X27" s="126" t="str">
        <f t="shared" si="11"/>
        <v>Si</v>
      </c>
      <c r="Y27" s="126">
        <f t="shared" si="5"/>
        <v>1</v>
      </c>
      <c r="Z27" s="126">
        <f t="shared" si="6"/>
        <v>1</v>
      </c>
      <c r="AA27" s="126">
        <f t="shared" si="7"/>
        <v>1</v>
      </c>
      <c r="AB27" s="126">
        <f t="shared" si="8"/>
        <v>1</v>
      </c>
      <c r="AC27" s="126">
        <f t="shared" si="9"/>
        <v>1</v>
      </c>
    </row>
    <row r="28" spans="2:29" s="40" customFormat="1" ht="36" hidden="1" outlineLevel="1">
      <c r="B28" s="73">
        <f t="shared" si="10"/>
        <v>17</v>
      </c>
      <c r="C28" s="56" t="s">
        <v>390</v>
      </c>
      <c r="D28" s="56">
        <v>2.4</v>
      </c>
      <c r="E28" s="56" t="s">
        <v>178</v>
      </c>
      <c r="F28" s="56"/>
      <c r="G28" s="215" t="s">
        <v>202</v>
      </c>
      <c r="H28" s="56">
        <v>3</v>
      </c>
      <c r="I28" s="57" t="s">
        <v>86</v>
      </c>
      <c r="J28" s="56" t="s">
        <v>182</v>
      </c>
      <c r="K28" s="56" t="s">
        <v>174</v>
      </c>
      <c r="L28" s="52" t="s">
        <v>331</v>
      </c>
      <c r="M28" s="68"/>
      <c r="N28" s="67"/>
      <c r="O28" s="78" t="str">
        <f t="shared" si="4"/>
        <v/>
      </c>
      <c r="P28" s="56" t="s">
        <v>76</v>
      </c>
      <c r="Q28" s="56" t="s">
        <v>82</v>
      </c>
      <c r="R28" s="56"/>
      <c r="S28" s="56"/>
      <c r="T28" s="56"/>
      <c r="U28" s="56" t="s">
        <v>75</v>
      </c>
      <c r="V28" s="52"/>
      <c r="W28" s="54"/>
      <c r="X28" s="126">
        <f t="shared" si="11"/>
        <v>1</v>
      </c>
      <c r="Y28" s="126">
        <f t="shared" si="5"/>
        <v>1</v>
      </c>
      <c r="Z28" s="126">
        <f t="shared" si="6"/>
        <v>1</v>
      </c>
      <c r="AA28" s="126">
        <f t="shared" si="7"/>
        <v>1</v>
      </c>
      <c r="AB28" s="126">
        <f t="shared" si="8"/>
        <v>1</v>
      </c>
      <c r="AC28" s="126">
        <f t="shared" si="9"/>
        <v>1</v>
      </c>
    </row>
    <row r="29" spans="2:29" s="40" customFormat="1" ht="36" hidden="1" outlineLevel="1">
      <c r="B29" s="73">
        <f t="shared" si="10"/>
        <v>18</v>
      </c>
      <c r="C29" s="52" t="s">
        <v>390</v>
      </c>
      <c r="D29" s="52">
        <v>2.4</v>
      </c>
      <c r="E29" s="52" t="s">
        <v>178</v>
      </c>
      <c r="F29" s="52"/>
      <c r="G29" s="215" t="s">
        <v>28</v>
      </c>
      <c r="H29" s="52">
        <v>4</v>
      </c>
      <c r="I29" s="55" t="s">
        <v>275</v>
      </c>
      <c r="J29" s="52" t="s">
        <v>182</v>
      </c>
      <c r="K29" s="52" t="s">
        <v>174</v>
      </c>
      <c r="L29" s="52" t="s">
        <v>331</v>
      </c>
      <c r="M29" s="68"/>
      <c r="N29" s="67"/>
      <c r="O29" s="78" t="str">
        <f t="shared" si="4"/>
        <v/>
      </c>
      <c r="P29" s="52" t="s">
        <v>76</v>
      </c>
      <c r="Q29" s="52" t="s">
        <v>77</v>
      </c>
      <c r="R29" s="52"/>
      <c r="S29" s="52"/>
      <c r="T29" s="52"/>
      <c r="U29" s="52" t="s">
        <v>75</v>
      </c>
      <c r="V29" s="52"/>
      <c r="W29" s="54"/>
      <c r="X29" s="126">
        <f t="shared" si="11"/>
        <v>1</v>
      </c>
      <c r="Y29" s="126">
        <f t="shared" si="5"/>
        <v>1</v>
      </c>
      <c r="Z29" s="126">
        <f t="shared" si="6"/>
        <v>1</v>
      </c>
      <c r="AA29" s="126">
        <f t="shared" si="7"/>
        <v>1</v>
      </c>
      <c r="AB29" s="126">
        <f t="shared" si="8"/>
        <v>1</v>
      </c>
      <c r="AC29" s="126">
        <f t="shared" si="9"/>
        <v>1</v>
      </c>
    </row>
    <row r="30" spans="2:29" s="40" customFormat="1" ht="34.5" hidden="1" outlineLevel="1">
      <c r="B30" s="73">
        <f t="shared" si="10"/>
        <v>19</v>
      </c>
      <c r="C30" s="52" t="s">
        <v>390</v>
      </c>
      <c r="D30" s="52">
        <v>2.4</v>
      </c>
      <c r="E30" s="52" t="s">
        <v>178</v>
      </c>
      <c r="F30" s="52"/>
      <c r="G30" s="215" t="s">
        <v>28</v>
      </c>
      <c r="H30" s="52">
        <v>5</v>
      </c>
      <c r="I30" s="55" t="s">
        <v>276</v>
      </c>
      <c r="J30" s="52" t="s">
        <v>182</v>
      </c>
      <c r="K30" s="52" t="s">
        <v>174</v>
      </c>
      <c r="L30" s="52" t="s">
        <v>331</v>
      </c>
      <c r="M30" s="68"/>
      <c r="N30" s="67"/>
      <c r="O30" s="78" t="str">
        <f t="shared" si="4"/>
        <v/>
      </c>
      <c r="P30" s="52" t="s">
        <v>76</v>
      </c>
      <c r="Q30" s="52" t="s">
        <v>83</v>
      </c>
      <c r="R30" s="52"/>
      <c r="S30" s="52"/>
      <c r="T30" s="52"/>
      <c r="U30" s="52" t="s">
        <v>75</v>
      </c>
      <c r="V30" s="52"/>
      <c r="W30" s="54"/>
      <c r="X30" s="126">
        <f t="shared" si="11"/>
        <v>1</v>
      </c>
      <c r="Y30" s="126">
        <f t="shared" si="5"/>
        <v>1</v>
      </c>
      <c r="Z30" s="126">
        <f t="shared" si="6"/>
        <v>1</v>
      </c>
      <c r="AA30" s="126">
        <f t="shared" si="7"/>
        <v>1</v>
      </c>
      <c r="AB30" s="126">
        <f t="shared" si="8"/>
        <v>1</v>
      </c>
      <c r="AC30" s="126">
        <f t="shared" si="9"/>
        <v>1</v>
      </c>
    </row>
    <row r="31" spans="2:29" s="40" customFormat="1" ht="48" outlineLevel="1">
      <c r="B31" s="73">
        <f t="shared" si="10"/>
        <v>20</v>
      </c>
      <c r="C31" s="52" t="s">
        <v>390</v>
      </c>
      <c r="D31" s="52">
        <v>3</v>
      </c>
      <c r="E31" s="52" t="s">
        <v>179</v>
      </c>
      <c r="F31" s="52"/>
      <c r="G31" s="215" t="s">
        <v>202</v>
      </c>
      <c r="H31" s="52"/>
      <c r="I31" s="52"/>
      <c r="J31" s="52" t="s">
        <v>182</v>
      </c>
      <c r="K31" s="52" t="s">
        <v>576</v>
      </c>
      <c r="L31" s="52" t="s">
        <v>331</v>
      </c>
      <c r="M31" s="68"/>
      <c r="N31" s="67" t="s">
        <v>220</v>
      </c>
      <c r="O31" s="78" t="str">
        <f t="shared" si="4"/>
        <v>ü</v>
      </c>
      <c r="P31" s="52" t="s">
        <v>238</v>
      </c>
      <c r="Q31" s="52" t="s">
        <v>396</v>
      </c>
      <c r="R31" s="52" t="s">
        <v>390</v>
      </c>
      <c r="S31" s="52"/>
      <c r="T31" s="52"/>
      <c r="U31" s="52" t="s">
        <v>78</v>
      </c>
      <c r="V31" s="52"/>
      <c r="W31" s="54"/>
      <c r="X31" s="126" t="str">
        <f t="shared" si="11"/>
        <v>Si</v>
      </c>
      <c r="Y31" s="126">
        <f t="shared" si="5"/>
        <v>1</v>
      </c>
      <c r="Z31" s="126">
        <f t="shared" si="6"/>
        <v>1</v>
      </c>
      <c r="AA31" s="126">
        <f t="shared" si="7"/>
        <v>1</v>
      </c>
      <c r="AB31" s="126">
        <f t="shared" si="8"/>
        <v>1</v>
      </c>
      <c r="AC31" s="126">
        <f t="shared" si="9"/>
        <v>1</v>
      </c>
    </row>
    <row r="32" spans="2:29" s="40" customFormat="1" ht="48" outlineLevel="1">
      <c r="B32" s="73">
        <f t="shared" si="10"/>
        <v>21</v>
      </c>
      <c r="C32" s="52" t="s">
        <v>390</v>
      </c>
      <c r="D32" s="52">
        <v>2.6</v>
      </c>
      <c r="E32" s="52" t="s">
        <v>180</v>
      </c>
      <c r="F32" s="52"/>
      <c r="G32" s="215" t="s">
        <v>202</v>
      </c>
      <c r="H32" s="52"/>
      <c r="I32" s="52"/>
      <c r="J32" s="52" t="s">
        <v>576</v>
      </c>
      <c r="K32" s="52" t="s">
        <v>536</v>
      </c>
      <c r="L32" s="52" t="s">
        <v>331</v>
      </c>
      <c r="M32" s="68"/>
      <c r="N32" s="67"/>
      <c r="O32" s="78" t="str">
        <f t="shared" si="4"/>
        <v/>
      </c>
      <c r="P32" s="52" t="s">
        <v>239</v>
      </c>
      <c r="Q32" s="52" t="s">
        <v>397</v>
      </c>
      <c r="R32" s="52" t="s">
        <v>390</v>
      </c>
      <c r="S32" s="52"/>
      <c r="T32" s="52"/>
      <c r="U32" s="52" t="s">
        <v>78</v>
      </c>
      <c r="V32" s="52"/>
      <c r="W32" s="54"/>
      <c r="X32" s="126">
        <f>IF(($G32="PRO")*AND(N32&lt;&gt;""),$N32, 1)</f>
        <v>1</v>
      </c>
      <c r="Y32" s="126">
        <f t="shared" si="5"/>
        <v>1</v>
      </c>
      <c r="Z32" s="126">
        <f t="shared" si="6"/>
        <v>1</v>
      </c>
      <c r="AA32" s="126">
        <f t="shared" si="7"/>
        <v>1</v>
      </c>
      <c r="AB32" s="126">
        <f t="shared" si="8"/>
        <v>1</v>
      </c>
      <c r="AC32" s="126">
        <f t="shared" si="9"/>
        <v>1</v>
      </c>
    </row>
    <row r="33" spans="2:29" s="40" customFormat="1" ht="84" outlineLevel="1">
      <c r="B33" s="73">
        <f t="shared" si="10"/>
        <v>22</v>
      </c>
      <c r="C33" s="52" t="s">
        <v>390</v>
      </c>
      <c r="D33" s="52">
        <v>2.7</v>
      </c>
      <c r="E33" s="52" t="s">
        <v>181</v>
      </c>
      <c r="F33" s="52"/>
      <c r="G33" s="215" t="s">
        <v>202</v>
      </c>
      <c r="H33" s="52"/>
      <c r="I33" s="52"/>
      <c r="J33" s="52" t="s">
        <v>182</v>
      </c>
      <c r="K33" s="52" t="s">
        <v>576</v>
      </c>
      <c r="L33" s="52" t="s">
        <v>331</v>
      </c>
      <c r="M33" s="68"/>
      <c r="N33" s="67"/>
      <c r="O33" s="78" t="str">
        <f t="shared" si="4"/>
        <v/>
      </c>
      <c r="P33" s="52" t="s">
        <v>239</v>
      </c>
      <c r="Q33" s="52" t="s">
        <v>334</v>
      </c>
      <c r="R33" s="52" t="s">
        <v>390</v>
      </c>
      <c r="S33" s="52"/>
      <c r="T33" s="52"/>
      <c r="U33" s="52" t="s">
        <v>78</v>
      </c>
      <c r="V33" s="52"/>
      <c r="W33" s="54"/>
      <c r="X33" s="126">
        <f>IF(($G33="PRO")*AND(N33&lt;&gt;""),$N33, 1)</f>
        <v>1</v>
      </c>
      <c r="Y33" s="126">
        <f t="shared" si="5"/>
        <v>1</v>
      </c>
      <c r="Z33" s="126">
        <f t="shared" si="6"/>
        <v>1</v>
      </c>
      <c r="AA33" s="126">
        <f t="shared" si="7"/>
        <v>1</v>
      </c>
      <c r="AB33" s="126">
        <f t="shared" si="8"/>
        <v>1</v>
      </c>
      <c r="AC33" s="126">
        <f t="shared" si="9"/>
        <v>1</v>
      </c>
    </row>
    <row r="34" spans="2:29" s="40" customFormat="1" ht="36" outlineLevel="1">
      <c r="B34" s="73">
        <f t="shared" si="10"/>
        <v>23</v>
      </c>
      <c r="C34" s="52" t="s">
        <v>390</v>
      </c>
      <c r="D34" s="52">
        <v>4</v>
      </c>
      <c r="E34" s="52" t="s">
        <v>185</v>
      </c>
      <c r="F34" s="52"/>
      <c r="G34" s="215" t="s">
        <v>202</v>
      </c>
      <c r="H34" s="52"/>
      <c r="I34" s="122"/>
      <c r="J34" s="52" t="s">
        <v>576</v>
      </c>
      <c r="K34" s="52" t="s">
        <v>182</v>
      </c>
      <c r="L34" s="52" t="s">
        <v>331</v>
      </c>
      <c r="M34" s="68"/>
      <c r="N34" s="67" t="s">
        <v>220</v>
      </c>
      <c r="O34" s="78" t="str">
        <f t="shared" si="4"/>
        <v>ü</v>
      </c>
      <c r="P34" s="52" t="s">
        <v>240</v>
      </c>
      <c r="Q34" s="52" t="s">
        <v>399</v>
      </c>
      <c r="R34" s="52" t="s">
        <v>398</v>
      </c>
      <c r="S34" s="52"/>
      <c r="T34" s="52"/>
      <c r="U34" s="52" t="s">
        <v>78</v>
      </c>
      <c r="V34" s="52"/>
      <c r="W34" s="54"/>
      <c r="X34" s="126" t="str">
        <f>IF(($G34="PRO")*AND(N34&lt;&gt;""),$N34, 1)</f>
        <v>Si</v>
      </c>
      <c r="Y34" s="126">
        <f t="shared" si="5"/>
        <v>1</v>
      </c>
      <c r="Z34" s="126">
        <f t="shared" si="6"/>
        <v>1</v>
      </c>
      <c r="AA34" s="126">
        <f t="shared" si="7"/>
        <v>1</v>
      </c>
      <c r="AB34" s="126">
        <f t="shared" si="8"/>
        <v>1</v>
      </c>
      <c r="AC34" s="126">
        <f t="shared" si="9"/>
        <v>1</v>
      </c>
    </row>
    <row r="35" spans="2:29" s="40" customFormat="1" ht="96" hidden="1" outlineLevel="1">
      <c r="B35" s="73">
        <f t="shared" si="10"/>
        <v>24</v>
      </c>
      <c r="C35" s="52" t="s">
        <v>390</v>
      </c>
      <c r="D35" s="52">
        <v>3.1</v>
      </c>
      <c r="E35" s="52" t="s">
        <v>185</v>
      </c>
      <c r="F35" s="52"/>
      <c r="G35" s="215" t="s">
        <v>28</v>
      </c>
      <c r="H35" s="52">
        <v>1</v>
      </c>
      <c r="I35" s="123" t="s">
        <v>458</v>
      </c>
      <c r="J35" s="52" t="s">
        <v>182</v>
      </c>
      <c r="K35" s="52" t="s">
        <v>388</v>
      </c>
      <c r="L35" s="52" t="s">
        <v>331</v>
      </c>
      <c r="M35" s="68"/>
      <c r="N35" s="67"/>
      <c r="O35" s="78" t="str">
        <f t="shared" si="4"/>
        <v/>
      </c>
      <c r="P35" s="52" t="s">
        <v>120</v>
      </c>
      <c r="Q35" s="52" t="s">
        <v>562</v>
      </c>
      <c r="R35" s="52" t="s">
        <v>121</v>
      </c>
      <c r="S35" s="52"/>
      <c r="T35" s="52"/>
      <c r="U35" s="52"/>
      <c r="V35" s="52"/>
      <c r="W35" s="54"/>
      <c r="X35" s="126">
        <f t="shared" ref="X35:X48" si="12">IF(($G35="PRO")*AND(N35&lt;&gt;""),$N35, 1)</f>
        <v>1</v>
      </c>
      <c r="Y35" s="126">
        <f t="shared" si="5"/>
        <v>1</v>
      </c>
      <c r="Z35" s="126">
        <f t="shared" si="6"/>
        <v>1</v>
      </c>
      <c r="AA35" s="126">
        <f t="shared" si="7"/>
        <v>1</v>
      </c>
      <c r="AB35" s="126">
        <f>IF(($G35="CM")*AND(N35&lt;&gt;""),$N35, 1)</f>
        <v>1</v>
      </c>
      <c r="AC35" s="126">
        <f t="shared" si="9"/>
        <v>1</v>
      </c>
    </row>
    <row r="36" spans="2:29" s="40" customFormat="1" ht="34.5" hidden="1" outlineLevel="1">
      <c r="B36" s="73">
        <f t="shared" si="10"/>
        <v>25</v>
      </c>
      <c r="C36" s="52" t="s">
        <v>390</v>
      </c>
      <c r="D36" s="52">
        <v>3.1</v>
      </c>
      <c r="E36" s="52" t="s">
        <v>185</v>
      </c>
      <c r="F36" s="52"/>
      <c r="G36" s="215" t="s">
        <v>584</v>
      </c>
      <c r="H36" s="52">
        <v>1</v>
      </c>
      <c r="I36" s="52" t="s">
        <v>88</v>
      </c>
      <c r="J36" s="52" t="s">
        <v>314</v>
      </c>
      <c r="K36" s="52" t="s">
        <v>472</v>
      </c>
      <c r="L36" s="52" t="s">
        <v>331</v>
      </c>
      <c r="M36" s="68"/>
      <c r="N36" s="67" t="s">
        <v>220</v>
      </c>
      <c r="O36" s="78" t="str">
        <f t="shared" si="4"/>
        <v>ü</v>
      </c>
      <c r="P36" s="52" t="s">
        <v>14</v>
      </c>
      <c r="Q36" s="8" t="s">
        <v>92</v>
      </c>
      <c r="R36" s="52"/>
      <c r="S36" s="52"/>
      <c r="T36" s="52"/>
      <c r="U36" s="52" t="s">
        <v>87</v>
      </c>
      <c r="V36" s="52"/>
      <c r="W36" s="54"/>
      <c r="X36" s="126">
        <f t="shared" si="12"/>
        <v>1</v>
      </c>
      <c r="Y36" s="126">
        <f t="shared" si="5"/>
        <v>1</v>
      </c>
      <c r="Z36" s="126">
        <f t="shared" si="6"/>
        <v>1</v>
      </c>
      <c r="AA36" s="126" t="str">
        <f t="shared" si="7"/>
        <v>Si</v>
      </c>
      <c r="AB36" s="126">
        <f t="shared" ref="AB36:AB99" si="13">IF(($G36="CM")*AND(N36&lt;&gt;""),$N36, 1)</f>
        <v>1</v>
      </c>
      <c r="AC36" s="126">
        <f t="shared" si="9"/>
        <v>1</v>
      </c>
    </row>
    <row r="37" spans="2:29" s="40" customFormat="1" ht="36" hidden="1" outlineLevel="1">
      <c r="B37" s="73">
        <f t="shared" si="10"/>
        <v>26</v>
      </c>
      <c r="C37" s="52" t="s">
        <v>390</v>
      </c>
      <c r="D37" s="52">
        <v>3.1</v>
      </c>
      <c r="E37" s="52" t="s">
        <v>185</v>
      </c>
      <c r="F37" s="52"/>
      <c r="G37" s="215" t="s">
        <v>584</v>
      </c>
      <c r="H37" s="52">
        <v>2</v>
      </c>
      <c r="I37" s="52" t="s">
        <v>89</v>
      </c>
      <c r="J37" s="52" t="s">
        <v>314</v>
      </c>
      <c r="K37" s="52" t="s">
        <v>182</v>
      </c>
      <c r="L37" s="52" t="s">
        <v>331</v>
      </c>
      <c r="M37" s="68"/>
      <c r="N37" s="67"/>
      <c r="O37" s="78" t="str">
        <f t="shared" si="4"/>
        <v/>
      </c>
      <c r="P37" s="52" t="s">
        <v>111</v>
      </c>
      <c r="Q37" s="8" t="s">
        <v>94</v>
      </c>
      <c r="R37" s="52"/>
      <c r="S37" s="52"/>
      <c r="T37" s="52"/>
      <c r="U37" s="52" t="s">
        <v>87</v>
      </c>
      <c r="V37" s="52"/>
      <c r="W37" s="54"/>
      <c r="X37" s="126">
        <f t="shared" si="12"/>
        <v>1</v>
      </c>
      <c r="Y37" s="126">
        <f t="shared" si="5"/>
        <v>1</v>
      </c>
      <c r="Z37" s="126">
        <f t="shared" si="6"/>
        <v>1</v>
      </c>
      <c r="AA37" s="126">
        <f t="shared" si="7"/>
        <v>1</v>
      </c>
      <c r="AB37" s="126">
        <f t="shared" si="13"/>
        <v>1</v>
      </c>
      <c r="AC37" s="126">
        <f t="shared" si="9"/>
        <v>1</v>
      </c>
    </row>
    <row r="38" spans="2:29" s="40" customFormat="1" ht="36" hidden="1" outlineLevel="1">
      <c r="B38" s="73">
        <f t="shared" si="10"/>
        <v>27</v>
      </c>
      <c r="C38" s="52" t="s">
        <v>390</v>
      </c>
      <c r="D38" s="52">
        <v>3.1</v>
      </c>
      <c r="E38" s="52" t="s">
        <v>185</v>
      </c>
      <c r="F38" s="52"/>
      <c r="G38" s="215" t="s">
        <v>584</v>
      </c>
      <c r="H38" s="52">
        <v>3</v>
      </c>
      <c r="I38" s="52" t="s">
        <v>90</v>
      </c>
      <c r="J38" s="52" t="s">
        <v>182</v>
      </c>
      <c r="K38" s="52" t="s">
        <v>174</v>
      </c>
      <c r="L38" s="52" t="s">
        <v>331</v>
      </c>
      <c r="M38" s="68"/>
      <c r="N38" s="67"/>
      <c r="O38" s="78" t="str">
        <f t="shared" si="4"/>
        <v/>
      </c>
      <c r="P38" s="52" t="s">
        <v>126</v>
      </c>
      <c r="Q38" s="8" t="s">
        <v>94</v>
      </c>
      <c r="R38" s="52"/>
      <c r="S38" s="52"/>
      <c r="T38" s="52"/>
      <c r="U38" s="52" t="s">
        <v>87</v>
      </c>
      <c r="V38" s="52"/>
      <c r="W38" s="54"/>
      <c r="X38" s="126">
        <f t="shared" si="12"/>
        <v>1</v>
      </c>
      <c r="Y38" s="126">
        <f t="shared" si="5"/>
        <v>1</v>
      </c>
      <c r="Z38" s="126">
        <f t="shared" si="6"/>
        <v>1</v>
      </c>
      <c r="AA38" s="126">
        <f t="shared" si="7"/>
        <v>1</v>
      </c>
      <c r="AB38" s="126">
        <f t="shared" si="13"/>
        <v>1</v>
      </c>
      <c r="AC38" s="126">
        <f t="shared" si="9"/>
        <v>1</v>
      </c>
    </row>
    <row r="39" spans="2:29" s="40" customFormat="1" ht="36" hidden="1" outlineLevel="1">
      <c r="B39" s="73">
        <f t="shared" si="10"/>
        <v>28</v>
      </c>
      <c r="C39" s="52" t="s">
        <v>390</v>
      </c>
      <c r="D39" s="52">
        <v>3.1</v>
      </c>
      <c r="E39" s="52" t="s">
        <v>185</v>
      </c>
      <c r="F39" s="52"/>
      <c r="G39" s="215" t="s">
        <v>584</v>
      </c>
      <c r="H39" s="52">
        <v>4</v>
      </c>
      <c r="I39" s="52" t="s">
        <v>91</v>
      </c>
      <c r="J39" s="52" t="s">
        <v>314</v>
      </c>
      <c r="K39" s="52" t="s">
        <v>182</v>
      </c>
      <c r="L39" s="52" t="s">
        <v>331</v>
      </c>
      <c r="M39" s="68"/>
      <c r="N39" s="67"/>
      <c r="O39" s="78" t="str">
        <f t="shared" si="4"/>
        <v/>
      </c>
      <c r="P39" s="52" t="s">
        <v>111</v>
      </c>
      <c r="Q39" s="8" t="s">
        <v>92</v>
      </c>
      <c r="R39" s="52"/>
      <c r="S39" s="52"/>
      <c r="T39" s="52"/>
      <c r="U39" s="52" t="s">
        <v>87</v>
      </c>
      <c r="V39" s="52"/>
      <c r="W39" s="54"/>
      <c r="X39" s="126">
        <f t="shared" si="12"/>
        <v>1</v>
      </c>
      <c r="Y39" s="126">
        <f t="shared" si="5"/>
        <v>1</v>
      </c>
      <c r="Z39" s="126">
        <f t="shared" si="6"/>
        <v>1</v>
      </c>
      <c r="AA39" s="126">
        <f t="shared" si="7"/>
        <v>1</v>
      </c>
      <c r="AB39" s="126">
        <f t="shared" si="13"/>
        <v>1</v>
      </c>
      <c r="AC39" s="126">
        <f t="shared" si="9"/>
        <v>1</v>
      </c>
    </row>
    <row r="40" spans="2:29" s="40" customFormat="1" ht="96" hidden="1" outlineLevel="1">
      <c r="B40" s="73">
        <f t="shared" si="10"/>
        <v>29</v>
      </c>
      <c r="C40" s="52" t="s">
        <v>390</v>
      </c>
      <c r="D40" s="52">
        <v>3.1</v>
      </c>
      <c r="E40" s="52" t="s">
        <v>185</v>
      </c>
      <c r="F40" s="56"/>
      <c r="G40" s="215" t="s">
        <v>28</v>
      </c>
      <c r="H40" s="56">
        <v>2</v>
      </c>
      <c r="I40" s="56" t="s">
        <v>568</v>
      </c>
      <c r="J40" s="52" t="s">
        <v>314</v>
      </c>
      <c r="K40" s="52" t="s">
        <v>388</v>
      </c>
      <c r="L40" s="52" t="s">
        <v>331</v>
      </c>
      <c r="M40" s="68"/>
      <c r="N40" s="67"/>
      <c r="O40" s="78" t="str">
        <f t="shared" si="4"/>
        <v/>
      </c>
      <c r="P40" s="52" t="s">
        <v>120</v>
      </c>
      <c r="Q40" s="52" t="s">
        <v>565</v>
      </c>
      <c r="R40" s="52" t="s">
        <v>121</v>
      </c>
      <c r="S40" s="52"/>
      <c r="T40" s="52"/>
      <c r="U40" s="52" t="s">
        <v>95</v>
      </c>
      <c r="V40" s="52"/>
      <c r="W40" s="54"/>
      <c r="X40" s="126">
        <f t="shared" si="12"/>
        <v>1</v>
      </c>
      <c r="Y40" s="126">
        <f t="shared" si="5"/>
        <v>1</v>
      </c>
      <c r="Z40" s="126">
        <f t="shared" si="6"/>
        <v>1</v>
      </c>
      <c r="AA40" s="126">
        <f t="shared" si="7"/>
        <v>1</v>
      </c>
      <c r="AB40" s="126">
        <f t="shared" si="13"/>
        <v>1</v>
      </c>
      <c r="AC40" s="126">
        <f t="shared" si="9"/>
        <v>1</v>
      </c>
    </row>
    <row r="41" spans="2:29" s="40" customFormat="1" ht="96" hidden="1" outlineLevel="1">
      <c r="B41" s="73">
        <f t="shared" si="10"/>
        <v>30</v>
      </c>
      <c r="C41" s="52" t="s">
        <v>390</v>
      </c>
      <c r="D41" s="52">
        <v>3.1</v>
      </c>
      <c r="E41" s="52" t="s">
        <v>185</v>
      </c>
      <c r="F41" s="56"/>
      <c r="G41" s="215" t="s">
        <v>28</v>
      </c>
      <c r="H41" s="56">
        <v>8</v>
      </c>
      <c r="I41" s="58" t="s">
        <v>529</v>
      </c>
      <c r="J41" s="52" t="s">
        <v>388</v>
      </c>
      <c r="K41" s="52" t="s">
        <v>388</v>
      </c>
      <c r="L41" s="52" t="s">
        <v>331</v>
      </c>
      <c r="M41" s="68"/>
      <c r="N41" s="67"/>
      <c r="O41" s="78" t="str">
        <f t="shared" si="4"/>
        <v/>
      </c>
      <c r="P41" s="52" t="s">
        <v>120</v>
      </c>
      <c r="Q41" s="52" t="s">
        <v>122</v>
      </c>
      <c r="R41" s="52" t="s">
        <v>95</v>
      </c>
      <c r="S41" s="52"/>
      <c r="T41" s="52"/>
      <c r="U41" s="52" t="s">
        <v>95</v>
      </c>
      <c r="V41" s="52"/>
      <c r="W41" s="54"/>
      <c r="X41" s="126">
        <f t="shared" si="12"/>
        <v>1</v>
      </c>
      <c r="Y41" s="126">
        <f t="shared" si="5"/>
        <v>1</v>
      </c>
      <c r="Z41" s="126">
        <f t="shared" si="6"/>
        <v>1</v>
      </c>
      <c r="AA41" s="126">
        <f t="shared" si="7"/>
        <v>1</v>
      </c>
      <c r="AB41" s="126">
        <f t="shared" si="13"/>
        <v>1</v>
      </c>
      <c r="AC41" s="126">
        <f t="shared" si="9"/>
        <v>1</v>
      </c>
    </row>
    <row r="42" spans="2:29" s="40" customFormat="1" ht="96" hidden="1" outlineLevel="1">
      <c r="B42" s="73">
        <f t="shared" si="10"/>
        <v>31</v>
      </c>
      <c r="C42" s="52" t="s">
        <v>390</v>
      </c>
      <c r="D42" s="52">
        <v>3</v>
      </c>
      <c r="E42" s="52" t="s">
        <v>185</v>
      </c>
      <c r="F42" s="56"/>
      <c r="G42" s="215" t="s">
        <v>28</v>
      </c>
      <c r="H42" s="56">
        <v>3</v>
      </c>
      <c r="I42" s="56" t="s">
        <v>458</v>
      </c>
      <c r="J42" s="52" t="s">
        <v>182</v>
      </c>
      <c r="K42" s="52" t="s">
        <v>388</v>
      </c>
      <c r="L42" s="52" t="s">
        <v>331</v>
      </c>
      <c r="M42" s="68"/>
      <c r="N42" s="67" t="s">
        <v>220</v>
      </c>
      <c r="O42" s="78" t="str">
        <f t="shared" si="4"/>
        <v>ü</v>
      </c>
      <c r="P42" s="52" t="s">
        <v>114</v>
      </c>
      <c r="Q42" s="52" t="s">
        <v>563</v>
      </c>
      <c r="R42" s="52" t="s">
        <v>121</v>
      </c>
      <c r="S42" s="52"/>
      <c r="T42" s="52"/>
      <c r="U42" s="52" t="s">
        <v>95</v>
      </c>
      <c r="V42" s="52"/>
      <c r="W42" s="54"/>
      <c r="X42" s="126">
        <f t="shared" si="12"/>
        <v>1</v>
      </c>
      <c r="Y42" s="126">
        <f t="shared" si="5"/>
        <v>1</v>
      </c>
      <c r="Z42" s="126">
        <f t="shared" si="6"/>
        <v>1</v>
      </c>
      <c r="AA42" s="126">
        <f t="shared" si="7"/>
        <v>1</v>
      </c>
      <c r="AB42" s="126" t="str">
        <f t="shared" si="13"/>
        <v>Si</v>
      </c>
      <c r="AC42" s="126">
        <f t="shared" si="9"/>
        <v>1</v>
      </c>
    </row>
    <row r="43" spans="2:29" s="40" customFormat="1" ht="36" outlineLevel="1">
      <c r="B43" s="73">
        <f t="shared" si="10"/>
        <v>32</v>
      </c>
      <c r="C43" s="52" t="s">
        <v>390</v>
      </c>
      <c r="D43" s="52">
        <v>4</v>
      </c>
      <c r="E43" s="52" t="s">
        <v>186</v>
      </c>
      <c r="F43" s="52"/>
      <c r="G43" s="215" t="s">
        <v>202</v>
      </c>
      <c r="H43" s="52"/>
      <c r="I43" s="52"/>
      <c r="J43" s="52" t="s">
        <v>201</v>
      </c>
      <c r="K43" s="52" t="s">
        <v>579</v>
      </c>
      <c r="L43" s="52" t="s">
        <v>331</v>
      </c>
      <c r="M43" s="68"/>
      <c r="N43" s="67"/>
      <c r="O43" s="78" t="str">
        <f t="shared" si="4"/>
        <v/>
      </c>
      <c r="P43" s="52" t="s">
        <v>240</v>
      </c>
      <c r="Q43" s="52" t="s">
        <v>400</v>
      </c>
      <c r="R43" s="52" t="s">
        <v>398</v>
      </c>
      <c r="S43" s="52"/>
      <c r="T43" s="52"/>
      <c r="U43" s="52" t="s">
        <v>78</v>
      </c>
      <c r="V43" s="52"/>
      <c r="W43" s="54"/>
      <c r="X43" s="126">
        <f t="shared" si="12"/>
        <v>1</v>
      </c>
      <c r="Y43" s="126">
        <f t="shared" si="5"/>
        <v>1</v>
      </c>
      <c r="Z43" s="126">
        <f t="shared" si="6"/>
        <v>1</v>
      </c>
      <c r="AA43" s="126">
        <f t="shared" si="7"/>
        <v>1</v>
      </c>
      <c r="AB43" s="126">
        <f t="shared" si="13"/>
        <v>1</v>
      </c>
      <c r="AC43" s="126">
        <f t="shared" si="9"/>
        <v>1</v>
      </c>
    </row>
    <row r="44" spans="2:29" s="40" customFormat="1" ht="34.5" outlineLevel="1">
      <c r="B44" s="73">
        <f t="shared" si="10"/>
        <v>33</v>
      </c>
      <c r="C44" s="52" t="s">
        <v>390</v>
      </c>
      <c r="D44" s="52">
        <v>4</v>
      </c>
      <c r="E44" s="52" t="s">
        <v>187</v>
      </c>
      <c r="F44" s="52"/>
      <c r="G44" s="215" t="s">
        <v>202</v>
      </c>
      <c r="H44" s="52"/>
      <c r="I44" s="52"/>
      <c r="J44" s="52" t="s">
        <v>201</v>
      </c>
      <c r="K44" s="52" t="s">
        <v>182</v>
      </c>
      <c r="L44" s="52" t="s">
        <v>331</v>
      </c>
      <c r="M44" s="68"/>
      <c r="N44" s="67"/>
      <c r="O44" s="78" t="str">
        <f t="shared" si="4"/>
        <v/>
      </c>
      <c r="P44" s="52" t="s">
        <v>400</v>
      </c>
      <c r="Q44" s="52" t="s">
        <v>401</v>
      </c>
      <c r="R44" s="52" t="s">
        <v>398</v>
      </c>
      <c r="S44" s="52"/>
      <c r="T44" s="52"/>
      <c r="U44" s="52" t="s">
        <v>78</v>
      </c>
      <c r="V44" s="52"/>
      <c r="W44" s="54"/>
      <c r="X44" s="126">
        <f t="shared" si="12"/>
        <v>1</v>
      </c>
      <c r="Y44" s="126">
        <f t="shared" si="5"/>
        <v>1</v>
      </c>
      <c r="Z44" s="126">
        <f t="shared" si="6"/>
        <v>1</v>
      </c>
      <c r="AA44" s="126">
        <f t="shared" si="7"/>
        <v>1</v>
      </c>
      <c r="AB44" s="126">
        <f t="shared" si="13"/>
        <v>1</v>
      </c>
      <c r="AC44" s="126">
        <f t="shared" si="9"/>
        <v>1</v>
      </c>
    </row>
    <row r="45" spans="2:29" s="40" customFormat="1" ht="60" hidden="1" outlineLevel="1">
      <c r="B45" s="73">
        <f t="shared" si="10"/>
        <v>34</v>
      </c>
      <c r="C45" s="52" t="s">
        <v>390</v>
      </c>
      <c r="D45" s="60">
        <v>5</v>
      </c>
      <c r="E45" s="60" t="s">
        <v>538</v>
      </c>
      <c r="F45" s="60"/>
      <c r="G45" s="215" t="s">
        <v>202</v>
      </c>
      <c r="H45" s="60"/>
      <c r="I45" s="60"/>
      <c r="J45" s="60" t="s">
        <v>182</v>
      </c>
      <c r="K45" s="60" t="s">
        <v>174</v>
      </c>
      <c r="L45" s="60" t="s">
        <v>550</v>
      </c>
      <c r="M45" s="80"/>
      <c r="N45" s="81"/>
      <c r="O45" s="78" t="str">
        <f t="shared" si="4"/>
        <v/>
      </c>
      <c r="P45" s="124" t="s">
        <v>260</v>
      </c>
      <c r="Q45" s="60" t="s">
        <v>551</v>
      </c>
      <c r="R45" s="60"/>
      <c r="S45" s="60"/>
      <c r="T45" s="60"/>
      <c r="U45" s="60"/>
      <c r="V45" s="60"/>
      <c r="W45" s="54"/>
      <c r="X45" s="126">
        <f t="shared" si="12"/>
        <v>1</v>
      </c>
      <c r="Y45" s="126">
        <f t="shared" si="5"/>
        <v>1</v>
      </c>
      <c r="Z45" s="126">
        <f t="shared" si="6"/>
        <v>1</v>
      </c>
      <c r="AA45" s="126">
        <f t="shared" si="7"/>
        <v>1</v>
      </c>
      <c r="AB45" s="126">
        <f t="shared" si="13"/>
        <v>1</v>
      </c>
      <c r="AC45" s="126">
        <f t="shared" si="9"/>
        <v>1</v>
      </c>
    </row>
    <row r="46" spans="2:29" s="40" customFormat="1" ht="96" hidden="1" outlineLevel="1">
      <c r="B46" s="73">
        <f t="shared" si="10"/>
        <v>35</v>
      </c>
      <c r="C46" s="60" t="s">
        <v>390</v>
      </c>
      <c r="D46" s="60">
        <v>3.2</v>
      </c>
      <c r="E46" s="60" t="s">
        <v>187</v>
      </c>
      <c r="F46" s="79"/>
      <c r="G46" s="215" t="s">
        <v>28</v>
      </c>
      <c r="H46" s="79">
        <v>6</v>
      </c>
      <c r="I46" s="79" t="s">
        <v>564</v>
      </c>
      <c r="J46" s="60" t="s">
        <v>388</v>
      </c>
      <c r="K46" s="60" t="s">
        <v>182</v>
      </c>
      <c r="L46" s="60" t="s">
        <v>331</v>
      </c>
      <c r="M46" s="80"/>
      <c r="N46" s="81" t="s">
        <v>223</v>
      </c>
      <c r="O46" s="78" t="str">
        <f t="shared" si="4"/>
        <v>û</v>
      </c>
      <c r="P46" s="52" t="s">
        <v>114</v>
      </c>
      <c r="Q46" s="52" t="s">
        <v>567</v>
      </c>
      <c r="R46" s="60" t="s">
        <v>121</v>
      </c>
      <c r="S46" s="60"/>
      <c r="T46" s="60"/>
      <c r="U46" s="52" t="s">
        <v>95</v>
      </c>
      <c r="V46" s="60"/>
      <c r="W46" s="54"/>
      <c r="X46" s="126">
        <f t="shared" si="12"/>
        <v>1</v>
      </c>
      <c r="Y46" s="126">
        <f t="shared" si="5"/>
        <v>1</v>
      </c>
      <c r="Z46" s="126">
        <f t="shared" si="6"/>
        <v>1</v>
      </c>
      <c r="AA46" s="126">
        <f t="shared" si="7"/>
        <v>1</v>
      </c>
      <c r="AB46" s="126" t="str">
        <f t="shared" si="13"/>
        <v>No</v>
      </c>
      <c r="AC46" s="126">
        <f t="shared" si="9"/>
        <v>1</v>
      </c>
    </row>
    <row r="47" spans="2:29" ht="18" hidden="1" customHeight="1" thickBot="1">
      <c r="B47" s="104" t="s">
        <v>175</v>
      </c>
      <c r="C47" s="93"/>
      <c r="D47" s="93"/>
      <c r="E47" s="93"/>
      <c r="F47" s="93"/>
      <c r="G47" s="214"/>
      <c r="H47" s="93"/>
      <c r="I47" s="93"/>
      <c r="J47" s="93"/>
      <c r="K47" s="93"/>
      <c r="L47" s="93"/>
      <c r="M47" s="93"/>
      <c r="N47" s="105" t="s">
        <v>521</v>
      </c>
      <c r="O47" s="105" t="str">
        <f t="shared" si="4"/>
        <v/>
      </c>
      <c r="P47" s="93"/>
      <c r="Q47" s="93"/>
      <c r="R47" s="93"/>
      <c r="S47" s="93"/>
      <c r="T47" s="93"/>
      <c r="U47" s="93"/>
      <c r="V47" s="95"/>
      <c r="X47" s="126"/>
      <c r="Y47" s="126"/>
      <c r="Z47" s="126"/>
      <c r="AA47" s="126"/>
      <c r="AB47" s="126"/>
      <c r="AC47" s="126"/>
    </row>
    <row r="48" spans="2:29" s="40" customFormat="1" ht="34.5" hidden="1" outlineLevel="1">
      <c r="B48" s="73">
        <f>B46+1</f>
        <v>36</v>
      </c>
      <c r="C48" s="73" t="s">
        <v>175</v>
      </c>
      <c r="D48" s="73">
        <v>1</v>
      </c>
      <c r="E48" s="73" t="s">
        <v>539</v>
      </c>
      <c r="F48" s="73"/>
      <c r="G48" s="215" t="s">
        <v>202</v>
      </c>
      <c r="H48" s="73"/>
      <c r="I48" s="73"/>
      <c r="J48" s="73" t="s">
        <v>576</v>
      </c>
      <c r="K48" s="73" t="s">
        <v>404</v>
      </c>
      <c r="L48" s="73" t="s">
        <v>331</v>
      </c>
      <c r="M48" s="76">
        <v>2</v>
      </c>
      <c r="N48" s="83" t="s">
        <v>220</v>
      </c>
      <c r="O48" s="69" t="str">
        <f t="shared" si="4"/>
        <v>ü</v>
      </c>
      <c r="P48" s="73" t="s">
        <v>405</v>
      </c>
      <c r="Q48" s="73" t="s">
        <v>540</v>
      </c>
      <c r="R48" s="73"/>
      <c r="S48" s="73"/>
      <c r="T48" s="73"/>
      <c r="U48" s="73" t="s">
        <v>79</v>
      </c>
      <c r="V48" s="73"/>
      <c r="W48" s="54"/>
      <c r="X48" s="126" t="str">
        <f t="shared" si="12"/>
        <v>Si</v>
      </c>
      <c r="Y48" s="126">
        <f t="shared" si="5"/>
        <v>1</v>
      </c>
      <c r="Z48" s="126">
        <f t="shared" si="6"/>
        <v>1</v>
      </c>
      <c r="AA48" s="126">
        <f t="shared" si="7"/>
        <v>1</v>
      </c>
      <c r="AB48" s="126">
        <f t="shared" si="13"/>
        <v>1</v>
      </c>
      <c r="AC48" s="126">
        <f t="shared" si="9"/>
        <v>1</v>
      </c>
    </row>
    <row r="49" spans="2:29" s="40" customFormat="1" ht="60" hidden="1" outlineLevel="1">
      <c r="B49" s="73">
        <f>B48+1</f>
        <v>37</v>
      </c>
      <c r="C49" s="52" t="s">
        <v>175</v>
      </c>
      <c r="D49" s="52">
        <v>2.1</v>
      </c>
      <c r="E49" s="52" t="s">
        <v>177</v>
      </c>
      <c r="F49" s="52"/>
      <c r="G49" s="215" t="s">
        <v>202</v>
      </c>
      <c r="H49" s="52"/>
      <c r="I49" s="52"/>
      <c r="J49" s="52" t="s">
        <v>182</v>
      </c>
      <c r="K49" s="52" t="s">
        <v>576</v>
      </c>
      <c r="L49" s="52" t="s">
        <v>331</v>
      </c>
      <c r="M49" s="68">
        <v>1</v>
      </c>
      <c r="N49" s="83" t="s">
        <v>220</v>
      </c>
      <c r="O49" s="70" t="str">
        <f t="shared" si="4"/>
        <v>ü</v>
      </c>
      <c r="P49" s="52" t="s">
        <v>541</v>
      </c>
      <c r="Q49" s="52" t="s">
        <v>542</v>
      </c>
      <c r="R49" s="52" t="s">
        <v>176</v>
      </c>
      <c r="S49" s="52"/>
      <c r="T49" s="52"/>
      <c r="U49" s="52" t="s">
        <v>79</v>
      </c>
      <c r="V49" s="52"/>
      <c r="W49" s="54"/>
      <c r="X49" s="126" t="str">
        <f>IF(($G49="PRO")*AND(N49&lt;&gt;""),$N49, 1)</f>
        <v>Si</v>
      </c>
      <c r="Y49" s="126">
        <f t="shared" si="5"/>
        <v>1</v>
      </c>
      <c r="Z49" s="126">
        <f t="shared" si="6"/>
        <v>1</v>
      </c>
      <c r="AA49" s="126">
        <f t="shared" si="7"/>
        <v>1</v>
      </c>
      <c r="AB49" s="126">
        <f t="shared" si="13"/>
        <v>1</v>
      </c>
      <c r="AC49" s="126">
        <f t="shared" si="9"/>
        <v>1</v>
      </c>
    </row>
    <row r="50" spans="2:29" s="40" customFormat="1" ht="34.5" hidden="1" outlineLevel="1">
      <c r="B50" s="73">
        <f t="shared" ref="B50:B80" si="14">B49+1</f>
        <v>38</v>
      </c>
      <c r="C50" s="52" t="s">
        <v>175</v>
      </c>
      <c r="D50" s="52">
        <v>2.1</v>
      </c>
      <c r="E50" s="52" t="s">
        <v>177</v>
      </c>
      <c r="F50" s="52"/>
      <c r="G50" s="215" t="s">
        <v>453</v>
      </c>
      <c r="H50" s="52">
        <v>1</v>
      </c>
      <c r="I50" s="52" t="s">
        <v>268</v>
      </c>
      <c r="J50" s="52" t="s">
        <v>576</v>
      </c>
      <c r="K50" s="52" t="s">
        <v>536</v>
      </c>
      <c r="L50" s="52" t="s">
        <v>331</v>
      </c>
      <c r="M50" s="68">
        <v>1</v>
      </c>
      <c r="N50" s="83" t="s">
        <v>220</v>
      </c>
      <c r="O50" s="70" t="str">
        <f t="shared" si="4"/>
        <v>ü</v>
      </c>
      <c r="P50" s="52" t="s">
        <v>167</v>
      </c>
      <c r="Q50" s="52" t="s">
        <v>107</v>
      </c>
      <c r="R50" s="52"/>
      <c r="S50" s="52"/>
      <c r="T50" s="52"/>
      <c r="U50" s="52" t="s">
        <v>108</v>
      </c>
      <c r="V50" s="52"/>
      <c r="W50" s="54"/>
      <c r="X50" s="126">
        <f>IF(($G50="PRO")*AND(N50&lt;&gt;""),$N50, 1)</f>
        <v>1</v>
      </c>
      <c r="Y50" s="126" t="str">
        <f t="shared" si="5"/>
        <v>Si</v>
      </c>
      <c r="Z50" s="126">
        <f t="shared" si="6"/>
        <v>1</v>
      </c>
      <c r="AA50" s="126">
        <f t="shared" si="7"/>
        <v>1</v>
      </c>
      <c r="AB50" s="126">
        <f t="shared" si="13"/>
        <v>1</v>
      </c>
      <c r="AC50" s="126">
        <f t="shared" si="9"/>
        <v>1</v>
      </c>
    </row>
    <row r="51" spans="2:29" s="40" customFormat="1" ht="36" hidden="1" outlineLevel="1">
      <c r="B51" s="73">
        <f t="shared" si="14"/>
        <v>39</v>
      </c>
      <c r="C51" s="52" t="s">
        <v>175</v>
      </c>
      <c r="D51" s="52">
        <v>2.2000000000000002</v>
      </c>
      <c r="E51" s="52" t="s">
        <v>183</v>
      </c>
      <c r="F51" s="52"/>
      <c r="G51" s="215" t="s">
        <v>202</v>
      </c>
      <c r="H51" s="52"/>
      <c r="I51" s="52"/>
      <c r="J51" s="52" t="s">
        <v>182</v>
      </c>
      <c r="K51" s="52" t="s">
        <v>201</v>
      </c>
      <c r="L51" s="52" t="s">
        <v>331</v>
      </c>
      <c r="M51" s="68"/>
      <c r="N51" s="83"/>
      <c r="O51" s="70" t="str">
        <f t="shared" si="4"/>
        <v/>
      </c>
      <c r="P51" s="52" t="s">
        <v>244</v>
      </c>
      <c r="Q51" s="52" t="s">
        <v>406</v>
      </c>
      <c r="R51" s="52" t="s">
        <v>176</v>
      </c>
      <c r="S51" s="52"/>
      <c r="T51" s="52"/>
      <c r="U51" s="52" t="s">
        <v>79</v>
      </c>
      <c r="V51" s="52"/>
      <c r="W51" s="54"/>
      <c r="X51" s="126">
        <f>IF(($G51="PRO")*AND(N51&lt;&gt;""),$N51, 1)</f>
        <v>1</v>
      </c>
      <c r="Y51" s="126">
        <f t="shared" si="5"/>
        <v>1</v>
      </c>
      <c r="Z51" s="126">
        <f t="shared" si="6"/>
        <v>1</v>
      </c>
      <c r="AA51" s="126">
        <f t="shared" si="7"/>
        <v>1</v>
      </c>
      <c r="AB51" s="126">
        <f t="shared" si="13"/>
        <v>1</v>
      </c>
      <c r="AC51" s="126">
        <f t="shared" si="9"/>
        <v>1</v>
      </c>
    </row>
    <row r="52" spans="2:29" s="40" customFormat="1" ht="36" hidden="1" outlineLevel="1">
      <c r="B52" s="73">
        <f t="shared" si="14"/>
        <v>40</v>
      </c>
      <c r="C52" s="52" t="s">
        <v>175</v>
      </c>
      <c r="D52" s="52">
        <v>2.2999999999999998</v>
      </c>
      <c r="E52" s="52" t="s">
        <v>184</v>
      </c>
      <c r="F52" s="52"/>
      <c r="G52" s="215" t="s">
        <v>202</v>
      </c>
      <c r="H52" s="52"/>
      <c r="I52" s="52"/>
      <c r="J52" s="52" t="s">
        <v>182</v>
      </c>
      <c r="K52" s="52" t="s">
        <v>577</v>
      </c>
      <c r="L52" s="52" t="s">
        <v>331</v>
      </c>
      <c r="M52" s="68"/>
      <c r="N52" s="83"/>
      <c r="O52" s="70" t="str">
        <f t="shared" si="4"/>
        <v/>
      </c>
      <c r="P52" s="52" t="s">
        <v>245</v>
      </c>
      <c r="Q52" s="52" t="s">
        <v>457</v>
      </c>
      <c r="R52" s="52" t="s">
        <v>176</v>
      </c>
      <c r="S52" s="52"/>
      <c r="T52" s="52"/>
      <c r="U52" s="52" t="s">
        <v>79</v>
      </c>
      <c r="V52" s="52"/>
      <c r="W52" s="54"/>
      <c r="X52" s="126">
        <f>IF(($G52="PRO")*AND(N52&lt;&gt;""),$N52, 1)</f>
        <v>1</v>
      </c>
      <c r="Y52" s="126">
        <f t="shared" si="5"/>
        <v>1</v>
      </c>
      <c r="Z52" s="126">
        <f t="shared" si="6"/>
        <v>1</v>
      </c>
      <c r="AA52" s="126">
        <f t="shared" si="7"/>
        <v>1</v>
      </c>
      <c r="AB52" s="126">
        <f t="shared" si="13"/>
        <v>1</v>
      </c>
      <c r="AC52" s="126">
        <f t="shared" si="9"/>
        <v>1</v>
      </c>
    </row>
    <row r="53" spans="2:29" s="40" customFormat="1" ht="34.5" hidden="1" outlineLevel="1">
      <c r="B53" s="73">
        <f t="shared" si="14"/>
        <v>41</v>
      </c>
      <c r="C53" s="52" t="s">
        <v>175</v>
      </c>
      <c r="D53" s="52">
        <v>2.2999999999999998</v>
      </c>
      <c r="E53" s="52" t="s">
        <v>184</v>
      </c>
      <c r="F53" s="52"/>
      <c r="G53" s="215" t="s">
        <v>453</v>
      </c>
      <c r="H53" s="52">
        <v>2</v>
      </c>
      <c r="I53" s="52" t="s">
        <v>454</v>
      </c>
      <c r="J53" s="52" t="s">
        <v>182</v>
      </c>
      <c r="K53" s="52" t="s">
        <v>201</v>
      </c>
      <c r="L53" s="52" t="s">
        <v>331</v>
      </c>
      <c r="M53" s="68"/>
      <c r="N53" s="83" t="s">
        <v>220</v>
      </c>
      <c r="O53" s="70" t="str">
        <f t="shared" si="4"/>
        <v>ü</v>
      </c>
      <c r="P53" s="52" t="s">
        <v>107</v>
      </c>
      <c r="Q53" s="52" t="s">
        <v>109</v>
      </c>
      <c r="R53" s="52"/>
      <c r="S53" s="52"/>
      <c r="T53" s="52"/>
      <c r="U53" s="52" t="s">
        <v>108</v>
      </c>
      <c r="V53" s="52"/>
      <c r="W53" s="54"/>
      <c r="X53" s="126">
        <f t="shared" ref="X53:X116" si="15">IF(($G53="PRO")*AND(N53&lt;&gt;""),$N53, 1)</f>
        <v>1</v>
      </c>
      <c r="Y53" s="126" t="str">
        <f t="shared" si="5"/>
        <v>Si</v>
      </c>
      <c r="Z53" s="126">
        <f t="shared" si="6"/>
        <v>1</v>
      </c>
      <c r="AA53" s="126">
        <f t="shared" si="7"/>
        <v>1</v>
      </c>
      <c r="AB53" s="126">
        <f t="shared" si="13"/>
        <v>1</v>
      </c>
      <c r="AC53" s="126">
        <f t="shared" si="9"/>
        <v>1</v>
      </c>
    </row>
    <row r="54" spans="2:29" s="40" customFormat="1" ht="34.5" hidden="1" outlineLevel="1">
      <c r="B54" s="73">
        <f t="shared" si="14"/>
        <v>42</v>
      </c>
      <c r="C54" s="52" t="s">
        <v>175</v>
      </c>
      <c r="D54" s="52">
        <v>2.2999999999999998</v>
      </c>
      <c r="E54" s="52" t="s">
        <v>184</v>
      </c>
      <c r="F54" s="52"/>
      <c r="G54" s="215" t="s">
        <v>453</v>
      </c>
      <c r="H54" s="52">
        <v>3</v>
      </c>
      <c r="I54" s="52" t="s">
        <v>455</v>
      </c>
      <c r="J54" s="52" t="s">
        <v>182</v>
      </c>
      <c r="K54" s="52" t="s">
        <v>201</v>
      </c>
      <c r="L54" s="52" t="s">
        <v>331</v>
      </c>
      <c r="M54" s="68"/>
      <c r="N54" s="83"/>
      <c r="O54" s="70" t="str">
        <f t="shared" si="4"/>
        <v/>
      </c>
      <c r="P54" s="52" t="s">
        <v>109</v>
      </c>
      <c r="Q54" s="52" t="s">
        <v>123</v>
      </c>
      <c r="R54" s="52"/>
      <c r="S54" s="52"/>
      <c r="T54" s="52"/>
      <c r="U54" s="52" t="s">
        <v>108</v>
      </c>
      <c r="V54" s="52"/>
      <c r="W54" s="54"/>
      <c r="X54" s="126">
        <f t="shared" si="15"/>
        <v>1</v>
      </c>
      <c r="Y54" s="126">
        <f t="shared" si="5"/>
        <v>1</v>
      </c>
      <c r="Z54" s="126">
        <f t="shared" si="6"/>
        <v>1</v>
      </c>
      <c r="AA54" s="126">
        <f t="shared" si="7"/>
        <v>1</v>
      </c>
      <c r="AB54" s="126">
        <f t="shared" si="13"/>
        <v>1</v>
      </c>
      <c r="AC54" s="126">
        <f t="shared" si="9"/>
        <v>1</v>
      </c>
    </row>
    <row r="55" spans="2:29" s="40" customFormat="1" ht="34.5" hidden="1" outlineLevel="1">
      <c r="B55" s="73">
        <f t="shared" si="14"/>
        <v>43</v>
      </c>
      <c r="C55" s="52" t="s">
        <v>175</v>
      </c>
      <c r="D55" s="52">
        <v>2.2999999999999998</v>
      </c>
      <c r="E55" s="52" t="s">
        <v>184</v>
      </c>
      <c r="F55" s="52"/>
      <c r="G55" s="215" t="s">
        <v>453</v>
      </c>
      <c r="H55" s="52">
        <v>5</v>
      </c>
      <c r="I55" s="52" t="s">
        <v>262</v>
      </c>
      <c r="J55" s="52" t="s">
        <v>201</v>
      </c>
      <c r="K55" s="52" t="s">
        <v>182</v>
      </c>
      <c r="L55" s="52" t="s">
        <v>331</v>
      </c>
      <c r="M55" s="68"/>
      <c r="N55" s="83"/>
      <c r="O55" s="70" t="str">
        <f t="shared" si="4"/>
        <v/>
      </c>
      <c r="P55" s="52" t="s">
        <v>165</v>
      </c>
      <c r="Q55" s="52" t="s">
        <v>124</v>
      </c>
      <c r="R55" s="52"/>
      <c r="S55" s="52"/>
      <c r="T55" s="52"/>
      <c r="U55" s="52" t="s">
        <v>108</v>
      </c>
      <c r="V55" s="52"/>
      <c r="W55" s="54"/>
      <c r="X55" s="126">
        <f t="shared" si="15"/>
        <v>1</v>
      </c>
      <c r="Y55" s="126">
        <f t="shared" si="5"/>
        <v>1</v>
      </c>
      <c r="Z55" s="126">
        <f t="shared" si="6"/>
        <v>1</v>
      </c>
      <c r="AA55" s="126">
        <f t="shared" si="7"/>
        <v>1</v>
      </c>
      <c r="AB55" s="126">
        <f t="shared" si="13"/>
        <v>1</v>
      </c>
      <c r="AC55" s="126">
        <f t="shared" si="9"/>
        <v>1</v>
      </c>
    </row>
    <row r="56" spans="2:29" s="40" customFormat="1" ht="48" hidden="1" outlineLevel="1">
      <c r="B56" s="73">
        <f t="shared" si="14"/>
        <v>44</v>
      </c>
      <c r="C56" s="52" t="s">
        <v>175</v>
      </c>
      <c r="D56" s="52">
        <v>2.4</v>
      </c>
      <c r="E56" s="52" t="s">
        <v>178</v>
      </c>
      <c r="F56" s="52"/>
      <c r="G56" s="215" t="s">
        <v>202</v>
      </c>
      <c r="H56" s="52"/>
      <c r="I56" s="52"/>
      <c r="J56" s="52" t="s">
        <v>182</v>
      </c>
      <c r="K56" s="52" t="s">
        <v>580</v>
      </c>
      <c r="L56" s="52" t="s">
        <v>331</v>
      </c>
      <c r="M56" s="68"/>
      <c r="N56" s="83"/>
      <c r="O56" s="70" t="str">
        <f t="shared" si="4"/>
        <v/>
      </c>
      <c r="P56" s="52" t="s">
        <v>243</v>
      </c>
      <c r="Q56" s="52" t="s">
        <v>407</v>
      </c>
      <c r="R56" s="52" t="s">
        <v>176</v>
      </c>
      <c r="S56" s="52"/>
      <c r="T56" s="52"/>
      <c r="U56" s="52" t="s">
        <v>79</v>
      </c>
      <c r="V56" s="52"/>
      <c r="W56" s="54"/>
      <c r="X56" s="126">
        <f t="shared" si="15"/>
        <v>1</v>
      </c>
      <c r="Y56" s="126">
        <f t="shared" si="5"/>
        <v>1</v>
      </c>
      <c r="Z56" s="126">
        <f t="shared" si="6"/>
        <v>1</v>
      </c>
      <c r="AA56" s="126">
        <f t="shared" si="7"/>
        <v>1</v>
      </c>
      <c r="AB56" s="126">
        <f t="shared" si="13"/>
        <v>1</v>
      </c>
      <c r="AC56" s="126">
        <f t="shared" si="9"/>
        <v>1</v>
      </c>
    </row>
    <row r="57" spans="2:29" s="40" customFormat="1" ht="96" hidden="1" outlineLevel="1">
      <c r="B57" s="73">
        <f t="shared" si="14"/>
        <v>45</v>
      </c>
      <c r="C57" s="52" t="s">
        <v>175</v>
      </c>
      <c r="D57" s="52">
        <v>2.4</v>
      </c>
      <c r="E57" s="52" t="s">
        <v>178</v>
      </c>
      <c r="F57" s="52"/>
      <c r="G57" s="215" t="s">
        <v>202</v>
      </c>
      <c r="H57" s="52">
        <v>1</v>
      </c>
      <c r="I57" s="55" t="s">
        <v>274</v>
      </c>
      <c r="J57" s="52" t="s">
        <v>182</v>
      </c>
      <c r="K57" s="52" t="s">
        <v>174</v>
      </c>
      <c r="L57" s="52" t="s">
        <v>331</v>
      </c>
      <c r="M57" s="68"/>
      <c r="N57" s="83"/>
      <c r="O57" s="70" t="str">
        <f t="shared" si="4"/>
        <v/>
      </c>
      <c r="P57" s="52" t="s">
        <v>76</v>
      </c>
      <c r="Q57" s="52" t="s">
        <v>80</v>
      </c>
      <c r="R57" s="52"/>
      <c r="S57" s="52"/>
      <c r="T57" s="52"/>
      <c r="U57" s="52" t="s">
        <v>75</v>
      </c>
      <c r="V57" s="52"/>
      <c r="W57" s="54"/>
      <c r="X57" s="126">
        <f t="shared" si="15"/>
        <v>1</v>
      </c>
      <c r="Y57" s="126">
        <f t="shared" si="5"/>
        <v>1</v>
      </c>
      <c r="Z57" s="126">
        <f t="shared" si="6"/>
        <v>1</v>
      </c>
      <c r="AA57" s="126">
        <f t="shared" si="7"/>
        <v>1</v>
      </c>
      <c r="AB57" s="126">
        <f t="shared" si="13"/>
        <v>1</v>
      </c>
      <c r="AC57" s="126">
        <f t="shared" si="9"/>
        <v>1</v>
      </c>
    </row>
    <row r="58" spans="2:29" s="40" customFormat="1" ht="36" hidden="1" outlineLevel="1">
      <c r="B58" s="73">
        <f t="shared" si="14"/>
        <v>46</v>
      </c>
      <c r="C58" s="56" t="s">
        <v>175</v>
      </c>
      <c r="D58" s="56">
        <v>2.4</v>
      </c>
      <c r="E58" s="56" t="s">
        <v>178</v>
      </c>
      <c r="F58" s="56"/>
      <c r="G58" s="215" t="s">
        <v>202</v>
      </c>
      <c r="H58" s="56">
        <v>3</v>
      </c>
      <c r="I58" s="57" t="s">
        <v>210</v>
      </c>
      <c r="J58" s="56" t="s">
        <v>182</v>
      </c>
      <c r="K58" s="56" t="s">
        <v>174</v>
      </c>
      <c r="L58" s="52" t="s">
        <v>331</v>
      </c>
      <c r="M58" s="68"/>
      <c r="N58" s="67"/>
      <c r="O58" s="70" t="str">
        <f t="shared" si="4"/>
        <v/>
      </c>
      <c r="P58" s="56" t="s">
        <v>76</v>
      </c>
      <c r="Q58" s="56" t="s">
        <v>85</v>
      </c>
      <c r="R58" s="56"/>
      <c r="S58" s="56"/>
      <c r="T58" s="56"/>
      <c r="U58" s="56" t="s">
        <v>75</v>
      </c>
      <c r="V58" s="52"/>
      <c r="W58" s="54"/>
      <c r="X58" s="126">
        <f t="shared" si="15"/>
        <v>1</v>
      </c>
      <c r="Y58" s="126">
        <f t="shared" si="5"/>
        <v>1</v>
      </c>
      <c r="Z58" s="126">
        <f t="shared" si="6"/>
        <v>1</v>
      </c>
      <c r="AA58" s="126">
        <f t="shared" si="7"/>
        <v>1</v>
      </c>
      <c r="AB58" s="126">
        <f t="shared" si="13"/>
        <v>1</v>
      </c>
      <c r="AC58" s="126">
        <f t="shared" si="9"/>
        <v>1</v>
      </c>
    </row>
    <row r="59" spans="2:29" s="40" customFormat="1" ht="36" hidden="1" outlineLevel="1">
      <c r="B59" s="73">
        <f>B57+1</f>
        <v>46</v>
      </c>
      <c r="C59" s="52" t="s">
        <v>175</v>
      </c>
      <c r="D59" s="52">
        <v>2.4</v>
      </c>
      <c r="E59" s="52" t="s">
        <v>178</v>
      </c>
      <c r="F59" s="52"/>
      <c r="G59" s="215" t="s">
        <v>202</v>
      </c>
      <c r="H59" s="52">
        <v>4</v>
      </c>
      <c r="I59" s="55" t="s">
        <v>275</v>
      </c>
      <c r="J59" s="52" t="s">
        <v>182</v>
      </c>
      <c r="K59" s="52" t="s">
        <v>174</v>
      </c>
      <c r="L59" s="52" t="s">
        <v>331</v>
      </c>
      <c r="M59" s="68"/>
      <c r="N59" s="83"/>
      <c r="O59" s="70" t="str">
        <f t="shared" si="4"/>
        <v/>
      </c>
      <c r="P59" s="52" t="s">
        <v>76</v>
      </c>
      <c r="Q59" s="52" t="s">
        <v>77</v>
      </c>
      <c r="R59" s="52"/>
      <c r="S59" s="52"/>
      <c r="T59" s="52"/>
      <c r="U59" s="52" t="s">
        <v>75</v>
      </c>
      <c r="V59" s="52"/>
      <c r="W59" s="54"/>
      <c r="X59" s="126">
        <f t="shared" si="15"/>
        <v>1</v>
      </c>
      <c r="Y59" s="126">
        <f t="shared" si="5"/>
        <v>1</v>
      </c>
      <c r="Z59" s="126">
        <f t="shared" si="6"/>
        <v>1</v>
      </c>
      <c r="AA59" s="126">
        <f t="shared" si="7"/>
        <v>1</v>
      </c>
      <c r="AB59" s="126">
        <f t="shared" si="13"/>
        <v>1</v>
      </c>
      <c r="AC59" s="126">
        <f t="shared" si="9"/>
        <v>1</v>
      </c>
    </row>
    <row r="60" spans="2:29" s="40" customFormat="1" ht="34.5" hidden="1" outlineLevel="1">
      <c r="B60" s="73">
        <f t="shared" si="14"/>
        <v>47</v>
      </c>
      <c r="C60" s="52" t="s">
        <v>175</v>
      </c>
      <c r="D60" s="52">
        <v>2.4</v>
      </c>
      <c r="E60" s="52" t="s">
        <v>178</v>
      </c>
      <c r="F60" s="52"/>
      <c r="G60" s="215" t="s">
        <v>202</v>
      </c>
      <c r="H60" s="52">
        <v>5</v>
      </c>
      <c r="I60" s="55" t="s">
        <v>276</v>
      </c>
      <c r="J60" s="52" t="s">
        <v>182</v>
      </c>
      <c r="K60" s="52" t="s">
        <v>174</v>
      </c>
      <c r="L60" s="52" t="s">
        <v>331</v>
      </c>
      <c r="M60" s="68"/>
      <c r="N60" s="83"/>
      <c r="O60" s="70" t="str">
        <f t="shared" si="4"/>
        <v/>
      </c>
      <c r="P60" s="52" t="s">
        <v>76</v>
      </c>
      <c r="Q60" s="52" t="s">
        <v>277</v>
      </c>
      <c r="R60" s="52"/>
      <c r="S60" s="52"/>
      <c r="T60" s="52"/>
      <c r="U60" s="52" t="s">
        <v>75</v>
      </c>
      <c r="V60" s="52"/>
      <c r="W60" s="54"/>
      <c r="X60" s="126">
        <f t="shared" si="15"/>
        <v>1</v>
      </c>
      <c r="Y60" s="126">
        <f t="shared" si="5"/>
        <v>1</v>
      </c>
      <c r="Z60" s="126">
        <f t="shared" si="6"/>
        <v>1</v>
      </c>
      <c r="AA60" s="126">
        <f t="shared" si="7"/>
        <v>1</v>
      </c>
      <c r="AB60" s="126">
        <f t="shared" si="13"/>
        <v>1</v>
      </c>
      <c r="AC60" s="126">
        <f t="shared" si="9"/>
        <v>1</v>
      </c>
    </row>
    <row r="61" spans="2:29" s="40" customFormat="1" ht="48" hidden="1" outlineLevel="1">
      <c r="B61" s="73">
        <f t="shared" si="14"/>
        <v>48</v>
      </c>
      <c r="C61" s="52" t="s">
        <v>175</v>
      </c>
      <c r="D61" s="52">
        <v>2</v>
      </c>
      <c r="E61" s="52" t="s">
        <v>179</v>
      </c>
      <c r="F61" s="52"/>
      <c r="G61" s="215" t="s">
        <v>283</v>
      </c>
      <c r="H61" s="52"/>
      <c r="I61" s="52"/>
      <c r="J61" s="52" t="s">
        <v>182</v>
      </c>
      <c r="K61" s="52" t="s">
        <v>576</v>
      </c>
      <c r="L61" s="52" t="s">
        <v>331</v>
      </c>
      <c r="M61" s="68"/>
      <c r="N61" s="83" t="s">
        <v>220</v>
      </c>
      <c r="O61" s="70" t="str">
        <f t="shared" si="4"/>
        <v>ü</v>
      </c>
      <c r="P61" s="52" t="s">
        <v>243</v>
      </c>
      <c r="Q61" s="52" t="s">
        <v>408</v>
      </c>
      <c r="R61" s="52" t="s">
        <v>176</v>
      </c>
      <c r="S61" s="52"/>
      <c r="T61" s="52"/>
      <c r="U61" s="52" t="s">
        <v>98</v>
      </c>
      <c r="V61" s="52"/>
      <c r="W61" s="54"/>
      <c r="X61" s="126">
        <f t="shared" si="15"/>
        <v>1</v>
      </c>
      <c r="Y61" s="126">
        <f t="shared" si="5"/>
        <v>1</v>
      </c>
      <c r="Z61" s="126" t="str">
        <f t="shared" si="6"/>
        <v>Si</v>
      </c>
      <c r="AA61" s="126">
        <f t="shared" si="7"/>
        <v>1</v>
      </c>
      <c r="AB61" s="126">
        <f t="shared" si="13"/>
        <v>1</v>
      </c>
      <c r="AC61" s="126">
        <f t="shared" si="9"/>
        <v>1</v>
      </c>
    </row>
    <row r="62" spans="2:29" s="40" customFormat="1" ht="48" hidden="1" outlineLevel="1">
      <c r="B62" s="73">
        <f t="shared" si="14"/>
        <v>49</v>
      </c>
      <c r="C62" s="52" t="s">
        <v>175</v>
      </c>
      <c r="D62" s="52">
        <v>2</v>
      </c>
      <c r="E62" s="52" t="s">
        <v>180</v>
      </c>
      <c r="F62" s="52"/>
      <c r="G62" s="215" t="s">
        <v>202</v>
      </c>
      <c r="H62" s="52"/>
      <c r="I62" s="52"/>
      <c r="J62" s="52" t="s">
        <v>182</v>
      </c>
      <c r="K62" s="52" t="s">
        <v>576</v>
      </c>
      <c r="L62" s="52" t="s">
        <v>331</v>
      </c>
      <c r="M62" s="68"/>
      <c r="N62" s="83"/>
      <c r="O62" s="70" t="str">
        <f t="shared" si="4"/>
        <v/>
      </c>
      <c r="P62" s="52" t="s">
        <v>246</v>
      </c>
      <c r="Q62" s="52" t="s">
        <v>409</v>
      </c>
      <c r="R62" s="52" t="s">
        <v>176</v>
      </c>
      <c r="S62" s="52"/>
      <c r="T62" s="52"/>
      <c r="U62" s="52" t="s">
        <v>79</v>
      </c>
      <c r="V62" s="52"/>
      <c r="W62" s="54"/>
      <c r="X62" s="126">
        <f t="shared" si="15"/>
        <v>1</v>
      </c>
      <c r="Y62" s="126">
        <f t="shared" si="5"/>
        <v>1</v>
      </c>
      <c r="Z62" s="126">
        <f t="shared" si="6"/>
        <v>1</v>
      </c>
      <c r="AA62" s="126">
        <f t="shared" si="7"/>
        <v>1</v>
      </c>
      <c r="AB62" s="126">
        <f t="shared" si="13"/>
        <v>1</v>
      </c>
      <c r="AC62" s="126">
        <f t="shared" si="9"/>
        <v>1</v>
      </c>
    </row>
    <row r="63" spans="2:29" s="40" customFormat="1" ht="168" hidden="1" outlineLevel="1">
      <c r="B63" s="73">
        <f t="shared" si="14"/>
        <v>50</v>
      </c>
      <c r="C63" s="52" t="s">
        <v>175</v>
      </c>
      <c r="D63" s="52">
        <v>2</v>
      </c>
      <c r="E63" s="52" t="s">
        <v>181</v>
      </c>
      <c r="F63" s="52"/>
      <c r="G63" s="215" t="s">
        <v>202</v>
      </c>
      <c r="H63" s="52"/>
      <c r="I63" s="52"/>
      <c r="J63" s="52" t="s">
        <v>182</v>
      </c>
      <c r="K63" s="52" t="s">
        <v>581</v>
      </c>
      <c r="L63" s="52" t="s">
        <v>331</v>
      </c>
      <c r="M63" s="68"/>
      <c r="N63" s="83"/>
      <c r="O63" s="70" t="str">
        <f t="shared" si="4"/>
        <v/>
      </c>
      <c r="P63" s="52" t="s">
        <v>247</v>
      </c>
      <c r="Q63" s="52" t="s">
        <v>491</v>
      </c>
      <c r="R63" s="52" t="s">
        <v>176</v>
      </c>
      <c r="S63" s="52"/>
      <c r="T63" s="52"/>
      <c r="U63" s="52" t="s">
        <v>79</v>
      </c>
      <c r="V63" s="52"/>
      <c r="W63" s="54"/>
      <c r="X63" s="126">
        <f t="shared" si="15"/>
        <v>1</v>
      </c>
      <c r="Y63" s="126">
        <f t="shared" si="5"/>
        <v>1</v>
      </c>
      <c r="Z63" s="126">
        <f t="shared" si="6"/>
        <v>1</v>
      </c>
      <c r="AA63" s="126">
        <f t="shared" si="7"/>
        <v>1</v>
      </c>
      <c r="AB63" s="126">
        <f t="shared" si="13"/>
        <v>1</v>
      </c>
      <c r="AC63" s="126">
        <f t="shared" si="9"/>
        <v>1</v>
      </c>
    </row>
    <row r="64" spans="2:29" s="40" customFormat="1" ht="34.5" hidden="1" outlineLevel="1">
      <c r="B64" s="73">
        <f t="shared" si="14"/>
        <v>51</v>
      </c>
      <c r="C64" s="52" t="s">
        <v>175</v>
      </c>
      <c r="D64" s="52">
        <v>2.7</v>
      </c>
      <c r="E64" s="52" t="s">
        <v>181</v>
      </c>
      <c r="F64" s="52" t="s">
        <v>282</v>
      </c>
      <c r="G64" s="215" t="s">
        <v>202</v>
      </c>
      <c r="H64" s="58">
        <v>1</v>
      </c>
      <c r="I64" s="59" t="s">
        <v>278</v>
      </c>
      <c r="J64" s="52" t="s">
        <v>182</v>
      </c>
      <c r="K64" s="52" t="s">
        <v>576</v>
      </c>
      <c r="L64" s="52" t="s">
        <v>331</v>
      </c>
      <c r="M64" s="68"/>
      <c r="N64" s="83"/>
      <c r="O64" s="70" t="str">
        <f t="shared" si="4"/>
        <v/>
      </c>
      <c r="P64" s="52"/>
      <c r="Q64" s="52" t="s">
        <v>280</v>
      </c>
      <c r="R64" s="52"/>
      <c r="S64" s="52"/>
      <c r="T64" s="52"/>
      <c r="U64" s="52"/>
      <c r="V64" s="52"/>
      <c r="W64" s="54"/>
      <c r="X64" s="126">
        <f t="shared" si="15"/>
        <v>1</v>
      </c>
      <c r="Y64" s="126">
        <f t="shared" si="5"/>
        <v>1</v>
      </c>
      <c r="Z64" s="126">
        <f t="shared" si="6"/>
        <v>1</v>
      </c>
      <c r="AA64" s="126">
        <f t="shared" si="7"/>
        <v>1</v>
      </c>
      <c r="AB64" s="126">
        <f t="shared" si="13"/>
        <v>1</v>
      </c>
      <c r="AC64" s="126">
        <f t="shared" si="9"/>
        <v>1</v>
      </c>
    </row>
    <row r="65" spans="2:29" s="40" customFormat="1" ht="34.5" hidden="1" outlineLevel="1">
      <c r="B65" s="73">
        <f t="shared" si="14"/>
        <v>52</v>
      </c>
      <c r="C65" s="52" t="s">
        <v>175</v>
      </c>
      <c r="D65" s="52">
        <v>3.1</v>
      </c>
      <c r="E65" s="52" t="s">
        <v>185</v>
      </c>
      <c r="F65" s="52" t="s">
        <v>282</v>
      </c>
      <c r="G65" s="215" t="s">
        <v>202</v>
      </c>
      <c r="H65" s="52"/>
      <c r="I65" s="52"/>
      <c r="J65" s="52" t="s">
        <v>576</v>
      </c>
      <c r="K65" s="52" t="s">
        <v>182</v>
      </c>
      <c r="L65" s="52" t="s">
        <v>331</v>
      </c>
      <c r="M65" s="68"/>
      <c r="N65" s="83"/>
      <c r="O65" s="70" t="str">
        <f t="shared" si="4"/>
        <v/>
      </c>
      <c r="P65" s="52" t="s">
        <v>248</v>
      </c>
      <c r="Q65" s="52" t="s">
        <v>492</v>
      </c>
      <c r="R65" s="52" t="s">
        <v>398</v>
      </c>
      <c r="S65" s="52"/>
      <c r="T65" s="52"/>
      <c r="U65" s="52" t="s">
        <v>79</v>
      </c>
      <c r="V65" s="52"/>
      <c r="W65" s="54"/>
      <c r="X65" s="126">
        <f t="shared" si="15"/>
        <v>1</v>
      </c>
      <c r="Y65" s="126">
        <f t="shared" si="5"/>
        <v>1</v>
      </c>
      <c r="Z65" s="126">
        <f t="shared" si="6"/>
        <v>1</v>
      </c>
      <c r="AA65" s="126">
        <f t="shared" si="7"/>
        <v>1</v>
      </c>
      <c r="AB65" s="126">
        <f t="shared" si="13"/>
        <v>1</v>
      </c>
      <c r="AC65" s="126">
        <f t="shared" si="9"/>
        <v>1</v>
      </c>
    </row>
    <row r="66" spans="2:29" s="40" customFormat="1" ht="48" hidden="1" outlineLevel="1">
      <c r="B66" s="73">
        <f t="shared" si="14"/>
        <v>53</v>
      </c>
      <c r="C66" s="52" t="s">
        <v>175</v>
      </c>
      <c r="D66" s="52">
        <v>3</v>
      </c>
      <c r="E66" s="52" t="s">
        <v>185</v>
      </c>
      <c r="F66" s="52"/>
      <c r="G66" s="215"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5"/>
        <v>1</v>
      </c>
      <c r="Y66" s="126">
        <f t="shared" si="5"/>
        <v>1</v>
      </c>
      <c r="Z66" s="126">
        <f t="shared" si="6"/>
        <v>1</v>
      </c>
      <c r="AA66" s="126">
        <f t="shared" si="7"/>
        <v>1</v>
      </c>
      <c r="AB66" s="126" t="str">
        <f t="shared" si="13"/>
        <v>Si</v>
      </c>
      <c r="AC66" s="126">
        <f t="shared" si="9"/>
        <v>1</v>
      </c>
    </row>
    <row r="67" spans="2:29" s="40" customFormat="1" ht="60" hidden="1" outlineLevel="1">
      <c r="B67" s="73">
        <f t="shared" si="14"/>
        <v>54</v>
      </c>
      <c r="C67" s="52" t="s">
        <v>175</v>
      </c>
      <c r="D67" s="52">
        <v>3.1</v>
      </c>
      <c r="E67" s="52" t="s">
        <v>185</v>
      </c>
      <c r="F67" s="52" t="s">
        <v>282</v>
      </c>
      <c r="G67" s="215" t="s">
        <v>584</v>
      </c>
      <c r="H67" s="52">
        <v>1</v>
      </c>
      <c r="I67" s="52" t="s">
        <v>88</v>
      </c>
      <c r="J67" s="52" t="s">
        <v>314</v>
      </c>
      <c r="K67" s="52" t="s">
        <v>472</v>
      </c>
      <c r="L67" s="52" t="s">
        <v>331</v>
      </c>
      <c r="M67" s="68"/>
      <c r="N67" s="83"/>
      <c r="O67" s="70" t="str">
        <f t="shared" si="4"/>
        <v/>
      </c>
      <c r="P67" s="52" t="s">
        <v>99</v>
      </c>
      <c r="Q67" s="8" t="s">
        <v>92</v>
      </c>
      <c r="R67" s="52"/>
      <c r="S67" s="52"/>
      <c r="T67" s="52"/>
      <c r="U67" s="52" t="s">
        <v>87</v>
      </c>
      <c r="V67" s="52"/>
      <c r="W67" s="54"/>
      <c r="X67" s="126">
        <f t="shared" si="15"/>
        <v>1</v>
      </c>
      <c r="Y67" s="126">
        <f t="shared" si="5"/>
        <v>1</v>
      </c>
      <c r="Z67" s="126">
        <f t="shared" si="6"/>
        <v>1</v>
      </c>
      <c r="AA67" s="126">
        <f t="shared" si="7"/>
        <v>1</v>
      </c>
      <c r="AB67" s="126">
        <f t="shared" si="13"/>
        <v>1</v>
      </c>
      <c r="AC67" s="126">
        <f t="shared" si="9"/>
        <v>1</v>
      </c>
    </row>
    <row r="68" spans="2:29" s="40" customFormat="1" ht="36" hidden="1" outlineLevel="1">
      <c r="B68" s="73">
        <f t="shared" si="14"/>
        <v>55</v>
      </c>
      <c r="C68" s="52" t="s">
        <v>175</v>
      </c>
      <c r="D68" s="52">
        <v>3.1</v>
      </c>
      <c r="E68" s="52" t="s">
        <v>185</v>
      </c>
      <c r="F68" s="52" t="s">
        <v>282</v>
      </c>
      <c r="G68" s="215" t="s">
        <v>584</v>
      </c>
      <c r="H68" s="52">
        <v>2</v>
      </c>
      <c r="I68" s="52" t="s">
        <v>89</v>
      </c>
      <c r="J68" s="52" t="s">
        <v>314</v>
      </c>
      <c r="K68" s="52" t="s">
        <v>182</v>
      </c>
      <c r="L68" s="52" t="s">
        <v>331</v>
      </c>
      <c r="M68" s="68"/>
      <c r="N68" s="83"/>
      <c r="O68" s="70" t="str">
        <f t="shared" si="4"/>
        <v/>
      </c>
      <c r="P68" s="52" t="s">
        <v>111</v>
      </c>
      <c r="Q68" s="8" t="s">
        <v>94</v>
      </c>
      <c r="R68" s="52"/>
      <c r="S68" s="52"/>
      <c r="T68" s="52"/>
      <c r="U68" s="52" t="s">
        <v>87</v>
      </c>
      <c r="V68" s="52"/>
      <c r="W68" s="54"/>
      <c r="X68" s="126">
        <f t="shared" si="15"/>
        <v>1</v>
      </c>
      <c r="Y68" s="126">
        <f t="shared" si="5"/>
        <v>1</v>
      </c>
      <c r="Z68" s="126">
        <f t="shared" si="6"/>
        <v>1</v>
      </c>
      <c r="AA68" s="126">
        <f t="shared" si="7"/>
        <v>1</v>
      </c>
      <c r="AB68" s="126">
        <f t="shared" si="13"/>
        <v>1</v>
      </c>
      <c r="AC68" s="126">
        <f t="shared" si="9"/>
        <v>1</v>
      </c>
    </row>
    <row r="69" spans="2:29" s="40" customFormat="1" ht="36" hidden="1" outlineLevel="1">
      <c r="B69" s="73">
        <f t="shared" si="14"/>
        <v>56</v>
      </c>
      <c r="C69" s="52" t="s">
        <v>175</v>
      </c>
      <c r="D69" s="52">
        <v>3.1</v>
      </c>
      <c r="E69" s="52" t="s">
        <v>185</v>
      </c>
      <c r="F69" s="52" t="s">
        <v>282</v>
      </c>
      <c r="G69" s="215" t="s">
        <v>584</v>
      </c>
      <c r="H69" s="52">
        <v>3</v>
      </c>
      <c r="I69" s="52" t="s">
        <v>90</v>
      </c>
      <c r="J69" s="52" t="s">
        <v>182</v>
      </c>
      <c r="K69" s="52" t="s">
        <v>314</v>
      </c>
      <c r="L69" s="52" t="s">
        <v>331</v>
      </c>
      <c r="M69" s="68"/>
      <c r="N69" s="83"/>
      <c r="O69" s="70" t="str">
        <f t="shared" si="4"/>
        <v/>
      </c>
      <c r="P69" s="52" t="s">
        <v>126</v>
      </c>
      <c r="Q69" s="8" t="s">
        <v>93</v>
      </c>
      <c r="R69" s="52"/>
      <c r="S69" s="52"/>
      <c r="T69" s="52"/>
      <c r="U69" s="52" t="s">
        <v>87</v>
      </c>
      <c r="V69" s="52"/>
      <c r="W69" s="54"/>
      <c r="X69" s="126">
        <f t="shared" si="15"/>
        <v>1</v>
      </c>
      <c r="Y69" s="126">
        <f t="shared" si="5"/>
        <v>1</v>
      </c>
      <c r="Z69" s="126">
        <f t="shared" si="6"/>
        <v>1</v>
      </c>
      <c r="AA69" s="126">
        <f t="shared" si="7"/>
        <v>1</v>
      </c>
      <c r="AB69" s="126">
        <f t="shared" si="13"/>
        <v>1</v>
      </c>
      <c r="AC69" s="126">
        <f t="shared" si="9"/>
        <v>1</v>
      </c>
    </row>
    <row r="70" spans="2:29" s="40" customFormat="1" ht="36" hidden="1" outlineLevel="1">
      <c r="B70" s="73">
        <f t="shared" si="14"/>
        <v>57</v>
      </c>
      <c r="C70" s="52" t="s">
        <v>175</v>
      </c>
      <c r="D70" s="52">
        <v>3.1</v>
      </c>
      <c r="E70" s="52" t="s">
        <v>185</v>
      </c>
      <c r="F70" s="52" t="s">
        <v>282</v>
      </c>
      <c r="G70" s="215" t="s">
        <v>584</v>
      </c>
      <c r="H70" s="52">
        <v>4</v>
      </c>
      <c r="I70" s="52" t="s">
        <v>91</v>
      </c>
      <c r="J70" s="52" t="s">
        <v>314</v>
      </c>
      <c r="K70" s="52" t="s">
        <v>182</v>
      </c>
      <c r="L70" s="52" t="s">
        <v>331</v>
      </c>
      <c r="M70" s="68"/>
      <c r="N70" s="83"/>
      <c r="O70" s="70" t="str">
        <f t="shared" si="4"/>
        <v/>
      </c>
      <c r="P70" s="52" t="s">
        <v>111</v>
      </c>
      <c r="Q70" s="8" t="s">
        <v>92</v>
      </c>
      <c r="R70" s="52"/>
      <c r="S70" s="52"/>
      <c r="T70" s="52"/>
      <c r="U70" s="52" t="s">
        <v>87</v>
      </c>
      <c r="V70" s="52"/>
      <c r="W70" s="54"/>
      <c r="X70" s="126">
        <f t="shared" si="15"/>
        <v>1</v>
      </c>
      <c r="Y70" s="126">
        <f t="shared" si="5"/>
        <v>1</v>
      </c>
      <c r="Z70" s="126">
        <f t="shared" si="6"/>
        <v>1</v>
      </c>
      <c r="AA70" s="126">
        <f t="shared" si="7"/>
        <v>1</v>
      </c>
      <c r="AB70" s="126">
        <f t="shared" si="13"/>
        <v>1</v>
      </c>
      <c r="AC70" s="126">
        <f t="shared" si="9"/>
        <v>1</v>
      </c>
    </row>
    <row r="71" spans="2:29" s="40" customFormat="1" ht="36" hidden="1" outlineLevel="1">
      <c r="B71" s="73">
        <f t="shared" si="14"/>
        <v>58</v>
      </c>
      <c r="C71" s="52" t="s">
        <v>175</v>
      </c>
      <c r="D71" s="52">
        <v>3.1</v>
      </c>
      <c r="E71" s="52" t="s">
        <v>185</v>
      </c>
      <c r="F71" s="52" t="s">
        <v>282</v>
      </c>
      <c r="G71" s="215" t="s">
        <v>28</v>
      </c>
      <c r="H71" s="56">
        <v>1</v>
      </c>
      <c r="I71" s="56" t="s">
        <v>458</v>
      </c>
      <c r="J71" s="52" t="s">
        <v>314</v>
      </c>
      <c r="K71" s="52" t="s">
        <v>182</v>
      </c>
      <c r="L71" s="52" t="s">
        <v>331</v>
      </c>
      <c r="M71" s="68"/>
      <c r="N71" s="83"/>
      <c r="O71" s="70" t="str">
        <f t="shared" si="4"/>
        <v/>
      </c>
      <c r="P71" s="52" t="s">
        <v>570</v>
      </c>
      <c r="Q71" s="52" t="s">
        <v>572</v>
      </c>
      <c r="R71" s="52" t="s">
        <v>128</v>
      </c>
      <c r="S71" s="52"/>
      <c r="T71" s="52"/>
      <c r="U71" s="52" t="s">
        <v>95</v>
      </c>
      <c r="V71" s="52"/>
      <c r="W71" s="54"/>
      <c r="X71" s="126">
        <f t="shared" si="15"/>
        <v>1</v>
      </c>
      <c r="Y71" s="126">
        <f t="shared" si="5"/>
        <v>1</v>
      </c>
      <c r="Z71" s="126">
        <f t="shared" si="6"/>
        <v>1</v>
      </c>
      <c r="AA71" s="126">
        <f t="shared" si="7"/>
        <v>1</v>
      </c>
      <c r="AB71" s="126">
        <f t="shared" si="13"/>
        <v>1</v>
      </c>
      <c r="AC71" s="126">
        <f t="shared" si="9"/>
        <v>1</v>
      </c>
    </row>
    <row r="72" spans="2:29" s="40" customFormat="1" ht="36" hidden="1" outlineLevel="1">
      <c r="B72" s="73">
        <f t="shared" si="14"/>
        <v>59</v>
      </c>
      <c r="C72" s="52" t="s">
        <v>175</v>
      </c>
      <c r="D72" s="52">
        <v>3.1</v>
      </c>
      <c r="E72" s="52" t="s">
        <v>185</v>
      </c>
      <c r="F72" s="52" t="s">
        <v>282</v>
      </c>
      <c r="G72" s="215" t="s">
        <v>28</v>
      </c>
      <c r="H72" s="56">
        <v>8</v>
      </c>
      <c r="I72" s="56" t="s">
        <v>529</v>
      </c>
      <c r="J72" s="52" t="s">
        <v>388</v>
      </c>
      <c r="K72" s="52" t="s">
        <v>182</v>
      </c>
      <c r="L72" s="52" t="s">
        <v>331</v>
      </c>
      <c r="M72" s="68"/>
      <c r="N72" s="83"/>
      <c r="O72" s="70" t="str">
        <f t="shared" si="4"/>
        <v/>
      </c>
      <c r="P72" s="52" t="s">
        <v>570</v>
      </c>
      <c r="Q72" s="52" t="s">
        <v>127</v>
      </c>
      <c r="R72" s="52" t="s">
        <v>128</v>
      </c>
      <c r="S72" s="52"/>
      <c r="T72" s="52"/>
      <c r="U72" s="52" t="s">
        <v>106</v>
      </c>
      <c r="V72" s="52"/>
      <c r="W72" s="54"/>
      <c r="X72" s="126">
        <f t="shared" si="15"/>
        <v>1</v>
      </c>
      <c r="Y72" s="126">
        <f t="shared" si="5"/>
        <v>1</v>
      </c>
      <c r="Z72" s="126">
        <f t="shared" si="6"/>
        <v>1</v>
      </c>
      <c r="AA72" s="126">
        <f t="shared" si="7"/>
        <v>1</v>
      </c>
      <c r="AB72" s="126">
        <f t="shared" si="13"/>
        <v>1</v>
      </c>
      <c r="AC72" s="126">
        <f t="shared" si="9"/>
        <v>1</v>
      </c>
    </row>
    <row r="73" spans="2:29" s="40" customFormat="1" ht="36" hidden="1" outlineLevel="1">
      <c r="B73" s="73">
        <f t="shared" si="14"/>
        <v>60</v>
      </c>
      <c r="C73" s="52" t="s">
        <v>175</v>
      </c>
      <c r="D73" s="52">
        <v>3.3</v>
      </c>
      <c r="E73" s="52" t="s">
        <v>187</v>
      </c>
      <c r="F73" s="52" t="s">
        <v>282</v>
      </c>
      <c r="G73" s="215"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5"/>
        <v>1</v>
      </c>
      <c r="Y73" s="126">
        <f t="shared" si="5"/>
        <v>1</v>
      </c>
      <c r="Z73" s="126">
        <f t="shared" si="6"/>
        <v>1</v>
      </c>
      <c r="AA73" s="126">
        <f t="shared" si="7"/>
        <v>1</v>
      </c>
      <c r="AB73" s="126">
        <f t="shared" si="13"/>
        <v>1</v>
      </c>
      <c r="AC73" s="126">
        <f t="shared" si="9"/>
        <v>1</v>
      </c>
    </row>
    <row r="74" spans="2:29" s="40" customFormat="1" ht="36" hidden="1" outlineLevel="1">
      <c r="B74" s="73">
        <f t="shared" si="14"/>
        <v>61</v>
      </c>
      <c r="C74" s="52" t="s">
        <v>175</v>
      </c>
      <c r="D74" s="52">
        <v>3.2</v>
      </c>
      <c r="E74" s="52" t="s">
        <v>186</v>
      </c>
      <c r="F74" s="52" t="s">
        <v>282</v>
      </c>
      <c r="G74" s="215" t="s">
        <v>453</v>
      </c>
      <c r="H74" s="52">
        <v>6</v>
      </c>
      <c r="I74" s="52" t="s">
        <v>269</v>
      </c>
      <c r="J74" s="52" t="s">
        <v>182</v>
      </c>
      <c r="K74" s="52" t="s">
        <v>201</v>
      </c>
      <c r="L74" s="52" t="s">
        <v>331</v>
      </c>
      <c r="M74" s="68"/>
      <c r="N74" s="83" t="s">
        <v>220</v>
      </c>
      <c r="O74" s="70" t="str">
        <f t="shared" si="4"/>
        <v>ü</v>
      </c>
      <c r="P74" s="52" t="s">
        <v>328</v>
      </c>
      <c r="Q74" s="52" t="s">
        <v>125</v>
      </c>
      <c r="R74" s="52"/>
      <c r="S74" s="52"/>
      <c r="T74" s="52"/>
      <c r="U74" s="52" t="s">
        <v>108</v>
      </c>
      <c r="V74" s="52"/>
      <c r="W74" s="54"/>
      <c r="X74" s="126">
        <f t="shared" si="15"/>
        <v>1</v>
      </c>
      <c r="Y74" s="126" t="str">
        <f t="shared" si="5"/>
        <v>Si</v>
      </c>
      <c r="Z74" s="126">
        <f t="shared" si="6"/>
        <v>1</v>
      </c>
      <c r="AA74" s="126">
        <f t="shared" si="7"/>
        <v>1</v>
      </c>
      <c r="AB74" s="126">
        <f t="shared" si="13"/>
        <v>1</v>
      </c>
      <c r="AC74" s="126">
        <f t="shared" si="9"/>
        <v>1</v>
      </c>
    </row>
    <row r="75" spans="2:29" s="40" customFormat="1" ht="34.5" hidden="1" outlineLevel="1">
      <c r="B75" s="73">
        <f t="shared" si="14"/>
        <v>62</v>
      </c>
      <c r="C75" s="52" t="s">
        <v>175</v>
      </c>
      <c r="D75" s="52">
        <v>3.2</v>
      </c>
      <c r="E75" s="52" t="s">
        <v>186</v>
      </c>
      <c r="F75" s="52" t="s">
        <v>282</v>
      </c>
      <c r="G75" s="215" t="s">
        <v>453</v>
      </c>
      <c r="H75" s="52">
        <v>7</v>
      </c>
      <c r="I75" s="52" t="s">
        <v>270</v>
      </c>
      <c r="J75" s="52" t="s">
        <v>182</v>
      </c>
      <c r="K75" s="52"/>
      <c r="L75" s="52" t="s">
        <v>331</v>
      </c>
      <c r="M75" s="68"/>
      <c r="N75" s="83"/>
      <c r="O75" s="70" t="str">
        <f t="shared" si="4"/>
        <v/>
      </c>
      <c r="P75" s="52" t="s">
        <v>329</v>
      </c>
      <c r="Q75" s="52" t="s">
        <v>267</v>
      </c>
      <c r="R75" s="52"/>
      <c r="S75" s="52"/>
      <c r="T75" s="52"/>
      <c r="U75" s="52" t="s">
        <v>108</v>
      </c>
      <c r="V75" s="52"/>
      <c r="W75" s="54"/>
      <c r="X75" s="126">
        <f t="shared" si="15"/>
        <v>1</v>
      </c>
      <c r="Y75" s="126">
        <f t="shared" si="5"/>
        <v>1</v>
      </c>
      <c r="Z75" s="126">
        <f t="shared" si="6"/>
        <v>1</v>
      </c>
      <c r="AA75" s="126">
        <f t="shared" si="7"/>
        <v>1</v>
      </c>
      <c r="AB75" s="126">
        <f t="shared" si="13"/>
        <v>1</v>
      </c>
      <c r="AC75" s="126">
        <f t="shared" si="9"/>
        <v>1</v>
      </c>
    </row>
    <row r="76" spans="2:29" s="40" customFormat="1" ht="36" hidden="1" outlineLevel="1">
      <c r="B76" s="73">
        <f>B75+1</f>
        <v>63</v>
      </c>
      <c r="C76" s="52" t="s">
        <v>175</v>
      </c>
      <c r="D76" s="52">
        <v>3.3</v>
      </c>
      <c r="E76" s="52" t="s">
        <v>187</v>
      </c>
      <c r="F76" s="52" t="s">
        <v>282</v>
      </c>
      <c r="G76" s="215" t="s">
        <v>202</v>
      </c>
      <c r="H76" s="52"/>
      <c r="I76" s="52"/>
      <c r="J76" s="52" t="s">
        <v>549</v>
      </c>
      <c r="K76" s="52" t="s">
        <v>576</v>
      </c>
      <c r="L76" s="52" t="s">
        <v>331</v>
      </c>
      <c r="M76" s="68"/>
      <c r="N76" s="83"/>
      <c r="O76" s="70" t="str">
        <f t="shared" si="4"/>
        <v/>
      </c>
      <c r="P76" s="52" t="s">
        <v>249</v>
      </c>
      <c r="Q76" s="52" t="s">
        <v>410</v>
      </c>
      <c r="R76" s="52" t="s">
        <v>398</v>
      </c>
      <c r="S76" s="52"/>
      <c r="T76" s="52"/>
      <c r="U76" s="52" t="s">
        <v>79</v>
      </c>
      <c r="V76" s="52"/>
      <c r="W76" s="54"/>
      <c r="X76" s="126">
        <f t="shared" si="15"/>
        <v>1</v>
      </c>
      <c r="Y76" s="126">
        <f t="shared" si="5"/>
        <v>1</v>
      </c>
      <c r="Z76" s="126">
        <f t="shared" si="6"/>
        <v>1</v>
      </c>
      <c r="AA76" s="126">
        <f t="shared" si="7"/>
        <v>1</v>
      </c>
      <c r="AB76" s="126">
        <f t="shared" si="13"/>
        <v>1</v>
      </c>
      <c r="AC76" s="126">
        <f t="shared" si="9"/>
        <v>1</v>
      </c>
    </row>
    <row r="77" spans="2:29" s="40" customFormat="1" ht="48" hidden="1" outlineLevel="1">
      <c r="B77" s="73">
        <f t="shared" si="14"/>
        <v>64</v>
      </c>
      <c r="C77" s="52" t="s">
        <v>175</v>
      </c>
      <c r="D77" s="52">
        <v>3.3</v>
      </c>
      <c r="E77" s="52" t="s">
        <v>187</v>
      </c>
      <c r="F77" s="52" t="s">
        <v>282</v>
      </c>
      <c r="G77" s="215" t="s">
        <v>453</v>
      </c>
      <c r="H77" s="52">
        <v>8</v>
      </c>
      <c r="I77" s="52" t="s">
        <v>271</v>
      </c>
      <c r="J77" s="52" t="s">
        <v>182</v>
      </c>
      <c r="K77" s="52"/>
      <c r="L77" s="52" t="s">
        <v>331</v>
      </c>
      <c r="M77" s="68"/>
      <c r="N77" s="83"/>
      <c r="O77" s="70" t="str">
        <f t="shared" si="4"/>
        <v/>
      </c>
      <c r="P77" s="52" t="s">
        <v>329</v>
      </c>
      <c r="Q77" s="52" t="s">
        <v>110</v>
      </c>
      <c r="R77" s="52"/>
      <c r="S77" s="52"/>
      <c r="T77" s="52"/>
      <c r="U77" s="52" t="s">
        <v>108</v>
      </c>
      <c r="V77" s="52"/>
      <c r="W77" s="54"/>
      <c r="X77" s="126">
        <f t="shared" si="15"/>
        <v>1</v>
      </c>
      <c r="Y77" s="126">
        <f t="shared" ref="Y77:Y140" si="16">IF(($G77="REQM")*AND(N77&lt;&gt;""),$N77, 1)</f>
        <v>1</v>
      </c>
      <c r="Z77" s="126">
        <f t="shared" ref="Z77:Z140" si="17">IF(($G77="ING")*AND(N77&lt;&gt;""),$N77, 1)</f>
        <v>1</v>
      </c>
      <c r="AA77" s="126">
        <f t="shared" ref="AA77:AA140" si="18">IF(($G77="PPQA")*AND(N77&lt;&gt;""),$N77, 1)</f>
        <v>1</v>
      </c>
      <c r="AB77" s="126">
        <f t="shared" si="13"/>
        <v>1</v>
      </c>
      <c r="AC77" s="126">
        <f t="shared" ref="AC77:AC140" si="19">IF(($G77="MA")*AND(N77&lt;&gt;""),$N77, 1)</f>
        <v>1</v>
      </c>
    </row>
    <row r="78" spans="2:29" s="40" customFormat="1" ht="36" hidden="1" outlineLevel="1">
      <c r="B78" s="73">
        <f t="shared" si="14"/>
        <v>65</v>
      </c>
      <c r="C78" s="52" t="s">
        <v>175</v>
      </c>
      <c r="D78" s="52">
        <v>3.3</v>
      </c>
      <c r="E78" s="52" t="s">
        <v>187</v>
      </c>
      <c r="F78" s="52" t="s">
        <v>282</v>
      </c>
      <c r="G78" s="215" t="s">
        <v>28</v>
      </c>
      <c r="H78" s="56">
        <v>5</v>
      </c>
      <c r="I78" s="56" t="s">
        <v>564</v>
      </c>
      <c r="J78" s="52" t="s">
        <v>388</v>
      </c>
      <c r="K78" s="52"/>
      <c r="L78" s="52" t="s">
        <v>331</v>
      </c>
      <c r="M78" s="68"/>
      <c r="N78" s="83"/>
      <c r="O78" s="70" t="str">
        <f t="shared" si="4"/>
        <v/>
      </c>
      <c r="P78" s="52" t="s">
        <v>570</v>
      </c>
      <c r="Q78" s="52" t="s">
        <v>567</v>
      </c>
      <c r="R78" s="52" t="s">
        <v>128</v>
      </c>
      <c r="S78" s="52"/>
      <c r="T78" s="52"/>
      <c r="U78" s="52" t="s">
        <v>95</v>
      </c>
      <c r="V78" s="52"/>
      <c r="W78" s="54"/>
      <c r="X78" s="126">
        <f t="shared" si="15"/>
        <v>1</v>
      </c>
      <c r="Y78" s="126">
        <f t="shared" si="16"/>
        <v>1</v>
      </c>
      <c r="Z78" s="126">
        <f t="shared" si="17"/>
        <v>1</v>
      </c>
      <c r="AA78" s="126">
        <f t="shared" si="18"/>
        <v>1</v>
      </c>
      <c r="AB78" s="126">
        <f t="shared" si="13"/>
        <v>1</v>
      </c>
      <c r="AC78" s="126">
        <f t="shared" si="19"/>
        <v>1</v>
      </c>
    </row>
    <row r="79" spans="2:29" s="40" customFormat="1" ht="36" hidden="1" outlineLevel="1">
      <c r="B79" s="73">
        <f t="shared" si="14"/>
        <v>66</v>
      </c>
      <c r="C79" s="52" t="s">
        <v>175</v>
      </c>
      <c r="D79" s="52">
        <v>4</v>
      </c>
      <c r="E79" s="52" t="s">
        <v>402</v>
      </c>
      <c r="F79" s="52" t="s">
        <v>282</v>
      </c>
      <c r="G79" s="215" t="s">
        <v>202</v>
      </c>
      <c r="H79" s="52"/>
      <c r="I79" s="52"/>
      <c r="J79" s="52" t="s">
        <v>182</v>
      </c>
      <c r="K79" s="52" t="s">
        <v>582</v>
      </c>
      <c r="L79" s="52" t="s">
        <v>331</v>
      </c>
      <c r="M79" s="68"/>
      <c r="N79" s="83"/>
      <c r="O79" s="70" t="str">
        <f t="shared" si="4"/>
        <v/>
      </c>
      <c r="P79" s="52" t="s">
        <v>241</v>
      </c>
      <c r="Q79" s="52" t="s">
        <v>411</v>
      </c>
      <c r="R79" s="52"/>
      <c r="S79" s="52"/>
      <c r="T79" s="52"/>
      <c r="U79" s="52" t="s">
        <v>79</v>
      </c>
      <c r="V79" s="52"/>
      <c r="W79" s="54"/>
      <c r="X79" s="126">
        <f t="shared" si="15"/>
        <v>1</v>
      </c>
      <c r="Y79" s="126">
        <f t="shared" si="16"/>
        <v>1</v>
      </c>
      <c r="Z79" s="126">
        <f t="shared" si="17"/>
        <v>1</v>
      </c>
      <c r="AA79" s="126">
        <f t="shared" si="18"/>
        <v>1</v>
      </c>
      <c r="AB79" s="126">
        <f t="shared" si="13"/>
        <v>1</v>
      </c>
      <c r="AC79" s="126">
        <f t="shared" si="19"/>
        <v>1</v>
      </c>
    </row>
    <row r="80" spans="2:29" s="40" customFormat="1" ht="36" hidden="1" outlineLevel="1">
      <c r="B80" s="73">
        <f t="shared" si="14"/>
        <v>67</v>
      </c>
      <c r="C80" s="60" t="s">
        <v>175</v>
      </c>
      <c r="D80" s="60">
        <v>5</v>
      </c>
      <c r="E80" s="60" t="s">
        <v>403</v>
      </c>
      <c r="F80" s="60" t="s">
        <v>282</v>
      </c>
      <c r="G80" s="215" t="s">
        <v>202</v>
      </c>
      <c r="H80" s="60"/>
      <c r="I80" s="60"/>
      <c r="J80" s="60" t="s">
        <v>182</v>
      </c>
      <c r="K80" s="60" t="s">
        <v>575</v>
      </c>
      <c r="L80" s="60" t="s">
        <v>331</v>
      </c>
      <c r="M80" s="80"/>
      <c r="N80" s="106"/>
      <c r="O80" s="82" t="str">
        <f t="shared" si="4"/>
        <v/>
      </c>
      <c r="P80" s="60" t="s">
        <v>242</v>
      </c>
      <c r="Q80" s="60" t="s">
        <v>412</v>
      </c>
      <c r="R80" s="60"/>
      <c r="S80" s="60"/>
      <c r="T80" s="60"/>
      <c r="U80" s="60" t="s">
        <v>79</v>
      </c>
      <c r="V80" s="60"/>
      <c r="W80" s="54"/>
      <c r="X80" s="126">
        <f t="shared" si="15"/>
        <v>1</v>
      </c>
      <c r="Y80" s="126">
        <f t="shared" si="16"/>
        <v>1</v>
      </c>
      <c r="Z80" s="126">
        <f t="shared" si="17"/>
        <v>1</v>
      </c>
      <c r="AA80" s="126">
        <f t="shared" si="18"/>
        <v>1</v>
      </c>
      <c r="AB80" s="126">
        <f t="shared" si="13"/>
        <v>1</v>
      </c>
      <c r="AC80" s="126">
        <f t="shared" si="19"/>
        <v>1</v>
      </c>
    </row>
    <row r="81" spans="2:29" s="40" customFormat="1" ht="13.5" hidden="1" customHeight="1" thickBot="1">
      <c r="B81" s="296" t="s">
        <v>505</v>
      </c>
      <c r="C81" s="297"/>
      <c r="D81" s="297"/>
      <c r="E81" s="297"/>
      <c r="F81" s="107"/>
      <c r="G81" s="216"/>
      <c r="H81" s="107"/>
      <c r="I81" s="107"/>
      <c r="J81" s="107"/>
      <c r="K81" s="107"/>
      <c r="L81" s="107"/>
      <c r="M81" s="107"/>
      <c r="N81" s="110" t="s">
        <v>521</v>
      </c>
      <c r="O81" s="107" t="str">
        <f t="shared" si="4"/>
        <v/>
      </c>
      <c r="P81" s="107"/>
      <c r="Q81" s="107"/>
      <c r="R81" s="107"/>
      <c r="S81" s="107"/>
      <c r="T81" s="107"/>
      <c r="U81" s="107"/>
      <c r="V81" s="108"/>
      <c r="W81" s="54"/>
      <c r="X81" s="126"/>
      <c r="Y81" s="126"/>
      <c r="Z81" s="126"/>
      <c r="AA81" s="126"/>
      <c r="AB81" s="126"/>
      <c r="AC81" s="126"/>
    </row>
    <row r="82" spans="2:29" s="40" customFormat="1" ht="36" hidden="1" outlineLevel="1">
      <c r="B82" s="73">
        <f>B80+1</f>
        <v>68</v>
      </c>
      <c r="C82" s="73" t="s">
        <v>443</v>
      </c>
      <c r="D82" s="73">
        <v>1</v>
      </c>
      <c r="E82" s="73" t="s">
        <v>383</v>
      </c>
      <c r="F82" s="73"/>
      <c r="G82" s="215" t="s">
        <v>202</v>
      </c>
      <c r="H82" s="73"/>
      <c r="I82" s="73"/>
      <c r="J82" s="73" t="s">
        <v>182</v>
      </c>
      <c r="K82" s="73" t="s">
        <v>174</v>
      </c>
      <c r="L82" s="73" t="s">
        <v>331</v>
      </c>
      <c r="M82" s="76"/>
      <c r="N82" s="83"/>
      <c r="O82" s="69" t="str">
        <f t="shared" si="4"/>
        <v/>
      </c>
      <c r="P82" s="73" t="s">
        <v>250</v>
      </c>
      <c r="Q82" s="73" t="s">
        <v>251</v>
      </c>
      <c r="R82" s="73"/>
      <c r="S82" s="73"/>
      <c r="T82" s="73"/>
      <c r="U82" s="73" t="s">
        <v>79</v>
      </c>
      <c r="V82" s="73"/>
      <c r="W82" s="54"/>
      <c r="X82" s="126">
        <f t="shared" si="15"/>
        <v>1</v>
      </c>
      <c r="Y82" s="126">
        <f t="shared" si="16"/>
        <v>1</v>
      </c>
      <c r="Z82" s="126">
        <f t="shared" si="17"/>
        <v>1</v>
      </c>
      <c r="AA82" s="126">
        <f t="shared" si="18"/>
        <v>1</v>
      </c>
      <c r="AB82" s="126">
        <f t="shared" si="13"/>
        <v>1</v>
      </c>
      <c r="AC82" s="126">
        <f t="shared" si="19"/>
        <v>1</v>
      </c>
    </row>
    <row r="83" spans="2:29" s="40" customFormat="1" ht="36" hidden="1" outlineLevel="1">
      <c r="B83" s="73">
        <f>B82+1</f>
        <v>69</v>
      </c>
      <c r="C83" s="52" t="s">
        <v>443</v>
      </c>
      <c r="D83" s="52">
        <v>2</v>
      </c>
      <c r="E83" s="52" t="s">
        <v>413</v>
      </c>
      <c r="F83" s="52"/>
      <c r="G83" s="215" t="s">
        <v>202</v>
      </c>
      <c r="H83" s="52"/>
      <c r="I83" s="52"/>
      <c r="J83" s="52" t="s">
        <v>182</v>
      </c>
      <c r="K83" s="52" t="s">
        <v>174</v>
      </c>
      <c r="L83" s="52" t="s">
        <v>331</v>
      </c>
      <c r="M83" s="68"/>
      <c r="N83" s="83"/>
      <c r="O83" s="70" t="str">
        <f t="shared" si="4"/>
        <v/>
      </c>
      <c r="P83" s="52" t="s">
        <v>385</v>
      </c>
      <c r="Q83" s="52" t="s">
        <v>530</v>
      </c>
      <c r="R83" s="52"/>
      <c r="S83" s="52"/>
      <c r="T83" s="52"/>
      <c r="U83" s="52" t="s">
        <v>79</v>
      </c>
      <c r="V83" s="52"/>
      <c r="W83" s="54"/>
      <c r="X83" s="126">
        <f t="shared" si="15"/>
        <v>1</v>
      </c>
      <c r="Y83" s="126">
        <f t="shared" si="16"/>
        <v>1</v>
      </c>
      <c r="Z83" s="126">
        <f t="shared" si="17"/>
        <v>1</v>
      </c>
      <c r="AA83" s="126">
        <f t="shared" si="18"/>
        <v>1</v>
      </c>
      <c r="AB83" s="126">
        <f t="shared" si="13"/>
        <v>1</v>
      </c>
      <c r="AC83" s="126">
        <f t="shared" si="19"/>
        <v>1</v>
      </c>
    </row>
    <row r="84" spans="2:29" s="40" customFormat="1" ht="36" hidden="1" outlineLevel="1">
      <c r="B84" s="73">
        <f t="shared" ref="B84:B146" si="20">B83+1</f>
        <v>70</v>
      </c>
      <c r="C84" s="52" t="s">
        <v>443</v>
      </c>
      <c r="D84" s="52"/>
      <c r="E84" s="52" t="s">
        <v>413</v>
      </c>
      <c r="F84" s="52"/>
      <c r="G84" s="215" t="s">
        <v>283</v>
      </c>
      <c r="H84" s="52"/>
      <c r="I84" s="122"/>
      <c r="J84" s="52" t="s">
        <v>182</v>
      </c>
      <c r="K84" s="52" t="s">
        <v>578</v>
      </c>
      <c r="L84" s="52" t="s">
        <v>331</v>
      </c>
      <c r="M84" s="68"/>
      <c r="N84" s="83" t="s">
        <v>220</v>
      </c>
      <c r="O84" s="70" t="str">
        <f t="shared" si="4"/>
        <v>ü</v>
      </c>
      <c r="P84" s="52" t="s">
        <v>531</v>
      </c>
      <c r="Q84" s="52" t="s">
        <v>154</v>
      </c>
      <c r="R84" s="52"/>
      <c r="S84" s="52"/>
      <c r="T84" s="52"/>
      <c r="U84" s="52"/>
      <c r="V84" s="52"/>
      <c r="W84" s="54"/>
      <c r="X84" s="126">
        <f t="shared" si="15"/>
        <v>1</v>
      </c>
      <c r="Y84" s="126">
        <f t="shared" si="16"/>
        <v>1</v>
      </c>
      <c r="Z84" s="126" t="str">
        <f t="shared" si="17"/>
        <v>Si</v>
      </c>
      <c r="AA84" s="126">
        <f t="shared" si="18"/>
        <v>1</v>
      </c>
      <c r="AB84" s="126">
        <f t="shared" si="13"/>
        <v>1</v>
      </c>
      <c r="AC84" s="126">
        <f t="shared" si="19"/>
        <v>1</v>
      </c>
    </row>
    <row r="85" spans="2:29" s="40" customFormat="1" ht="48" hidden="1" outlineLevel="1">
      <c r="B85" s="73">
        <f t="shared" si="20"/>
        <v>71</v>
      </c>
      <c r="C85" s="52" t="s">
        <v>443</v>
      </c>
      <c r="D85" s="52">
        <v>2</v>
      </c>
      <c r="E85" s="52" t="s">
        <v>413</v>
      </c>
      <c r="F85" s="56" t="s">
        <v>212</v>
      </c>
      <c r="G85" s="215" t="s">
        <v>584</v>
      </c>
      <c r="H85" s="52">
        <v>1</v>
      </c>
      <c r="I85" s="52" t="s">
        <v>88</v>
      </c>
      <c r="J85" s="52" t="s">
        <v>314</v>
      </c>
      <c r="K85" s="52" t="s">
        <v>472</v>
      </c>
      <c r="L85" s="52" t="s">
        <v>331</v>
      </c>
      <c r="M85" s="68"/>
      <c r="N85" s="83"/>
      <c r="O85" s="70" t="str">
        <f t="shared" si="4"/>
        <v/>
      </c>
      <c r="P85" s="52" t="s">
        <v>100</v>
      </c>
      <c r="Q85" s="8" t="s">
        <v>92</v>
      </c>
      <c r="R85" s="52"/>
      <c r="S85" s="52" t="s">
        <v>313</v>
      </c>
      <c r="T85" s="52"/>
      <c r="U85" s="52" t="s">
        <v>87</v>
      </c>
      <c r="V85" s="52"/>
      <c r="W85" s="54"/>
      <c r="X85" s="126">
        <f t="shared" si="15"/>
        <v>1</v>
      </c>
      <c r="Y85" s="126">
        <f t="shared" si="16"/>
        <v>1</v>
      </c>
      <c r="Z85" s="126">
        <f t="shared" si="17"/>
        <v>1</v>
      </c>
      <c r="AA85" s="126">
        <f t="shared" si="18"/>
        <v>1</v>
      </c>
      <c r="AB85" s="126">
        <f t="shared" si="13"/>
        <v>1</v>
      </c>
      <c r="AC85" s="126">
        <f t="shared" si="19"/>
        <v>1</v>
      </c>
    </row>
    <row r="86" spans="2:29" s="40" customFormat="1" ht="36" hidden="1" outlineLevel="1">
      <c r="B86" s="73">
        <f t="shared" si="20"/>
        <v>72</v>
      </c>
      <c r="C86" s="52" t="s">
        <v>443</v>
      </c>
      <c r="D86" s="52">
        <v>2</v>
      </c>
      <c r="E86" s="52" t="s">
        <v>413</v>
      </c>
      <c r="F86" s="56" t="s">
        <v>212</v>
      </c>
      <c r="G86" s="215" t="s">
        <v>584</v>
      </c>
      <c r="H86" s="52">
        <v>2</v>
      </c>
      <c r="I86" s="52" t="s">
        <v>89</v>
      </c>
      <c r="J86" s="52" t="s">
        <v>314</v>
      </c>
      <c r="K86" s="52" t="s">
        <v>182</v>
      </c>
      <c r="L86" s="52" t="s">
        <v>331</v>
      </c>
      <c r="M86" s="68"/>
      <c r="N86" s="83"/>
      <c r="O86" s="70" t="str">
        <f t="shared" si="4"/>
        <v/>
      </c>
      <c r="P86" s="52" t="s">
        <v>111</v>
      </c>
      <c r="Q86" s="8" t="s">
        <v>94</v>
      </c>
      <c r="R86" s="52"/>
      <c r="S86" s="52" t="s">
        <v>313</v>
      </c>
      <c r="T86" s="52"/>
      <c r="U86" s="52" t="s">
        <v>87</v>
      </c>
      <c r="V86" s="52"/>
      <c r="W86" s="54"/>
      <c r="X86" s="126">
        <f t="shared" si="15"/>
        <v>1</v>
      </c>
      <c r="Y86" s="126">
        <f t="shared" si="16"/>
        <v>1</v>
      </c>
      <c r="Z86" s="126">
        <f t="shared" si="17"/>
        <v>1</v>
      </c>
      <c r="AA86" s="126">
        <f t="shared" si="18"/>
        <v>1</v>
      </c>
      <c r="AB86" s="126">
        <f t="shared" si="13"/>
        <v>1</v>
      </c>
      <c r="AC86" s="126">
        <f t="shared" si="19"/>
        <v>1</v>
      </c>
    </row>
    <row r="87" spans="2:29" s="40" customFormat="1" ht="36" hidden="1" outlineLevel="1">
      <c r="B87" s="73">
        <f t="shared" si="20"/>
        <v>73</v>
      </c>
      <c r="C87" s="52" t="s">
        <v>443</v>
      </c>
      <c r="D87" s="52">
        <v>2</v>
      </c>
      <c r="E87" s="52" t="s">
        <v>413</v>
      </c>
      <c r="F87" s="56" t="s">
        <v>212</v>
      </c>
      <c r="G87" s="215" t="s">
        <v>584</v>
      </c>
      <c r="H87" s="52">
        <v>3</v>
      </c>
      <c r="I87" s="52" t="s">
        <v>90</v>
      </c>
      <c r="J87" s="52" t="s">
        <v>182</v>
      </c>
      <c r="K87" s="52" t="s">
        <v>314</v>
      </c>
      <c r="L87" s="52" t="s">
        <v>331</v>
      </c>
      <c r="M87" s="68"/>
      <c r="N87" s="83"/>
      <c r="O87" s="70" t="str">
        <f t="shared" si="4"/>
        <v/>
      </c>
      <c r="P87" s="52" t="s">
        <v>126</v>
      </c>
      <c r="Q87" s="8" t="s">
        <v>94</v>
      </c>
      <c r="R87" s="52"/>
      <c r="S87" s="52" t="s">
        <v>313</v>
      </c>
      <c r="T87" s="52"/>
      <c r="U87" s="52" t="s">
        <v>87</v>
      </c>
      <c r="V87" s="52"/>
      <c r="W87" s="54"/>
      <c r="X87" s="126">
        <f t="shared" si="15"/>
        <v>1</v>
      </c>
      <c r="Y87" s="126">
        <f t="shared" si="16"/>
        <v>1</v>
      </c>
      <c r="Z87" s="126">
        <f t="shared" si="17"/>
        <v>1</v>
      </c>
      <c r="AA87" s="126">
        <f t="shared" si="18"/>
        <v>1</v>
      </c>
      <c r="AB87" s="126">
        <f t="shared" si="13"/>
        <v>1</v>
      </c>
      <c r="AC87" s="126">
        <f t="shared" si="19"/>
        <v>1</v>
      </c>
    </row>
    <row r="88" spans="2:29" s="40" customFormat="1" ht="36" hidden="1" outlineLevel="1">
      <c r="B88" s="73">
        <f t="shared" si="20"/>
        <v>74</v>
      </c>
      <c r="C88" s="52" t="s">
        <v>443</v>
      </c>
      <c r="D88" s="52">
        <v>2</v>
      </c>
      <c r="E88" s="52" t="s">
        <v>413</v>
      </c>
      <c r="F88" s="56" t="s">
        <v>212</v>
      </c>
      <c r="G88" s="215" t="s">
        <v>584</v>
      </c>
      <c r="H88" s="52">
        <v>4</v>
      </c>
      <c r="I88" s="52" t="s">
        <v>91</v>
      </c>
      <c r="J88" s="52" t="s">
        <v>314</v>
      </c>
      <c r="K88" s="52" t="s">
        <v>182</v>
      </c>
      <c r="L88" s="52" t="s">
        <v>331</v>
      </c>
      <c r="M88" s="68"/>
      <c r="N88" s="83"/>
      <c r="O88" s="70" t="str">
        <f t="shared" si="4"/>
        <v/>
      </c>
      <c r="P88" s="60" t="s">
        <v>111</v>
      </c>
      <c r="Q88" s="8" t="s">
        <v>92</v>
      </c>
      <c r="R88" s="52"/>
      <c r="S88" s="52" t="s">
        <v>313</v>
      </c>
      <c r="T88" s="52"/>
      <c r="U88" s="52" t="s">
        <v>87</v>
      </c>
      <c r="V88" s="52"/>
      <c r="W88" s="54"/>
      <c r="X88" s="126">
        <f t="shared" si="15"/>
        <v>1</v>
      </c>
      <c r="Y88" s="126">
        <f t="shared" si="16"/>
        <v>1</v>
      </c>
      <c r="Z88" s="126">
        <f t="shared" si="17"/>
        <v>1</v>
      </c>
      <c r="AA88" s="126">
        <f t="shared" si="18"/>
        <v>1</v>
      </c>
      <c r="AB88" s="126">
        <f t="shared" si="13"/>
        <v>1</v>
      </c>
      <c r="AC88" s="126">
        <f t="shared" si="19"/>
        <v>1</v>
      </c>
    </row>
    <row r="89" spans="2:29" s="40" customFormat="1" ht="60" hidden="1" outlineLevel="1">
      <c r="B89" s="73">
        <f t="shared" si="20"/>
        <v>75</v>
      </c>
      <c r="C89" s="52" t="s">
        <v>443</v>
      </c>
      <c r="D89" s="52">
        <v>2</v>
      </c>
      <c r="E89" s="52" t="s">
        <v>413</v>
      </c>
      <c r="F89" s="56" t="s">
        <v>212</v>
      </c>
      <c r="G89" s="215" t="s">
        <v>28</v>
      </c>
      <c r="H89" s="56">
        <v>1</v>
      </c>
      <c r="I89" s="56" t="s">
        <v>458</v>
      </c>
      <c r="J89" s="52" t="s">
        <v>182</v>
      </c>
      <c r="K89" s="52"/>
      <c r="L89" s="52" t="s">
        <v>331</v>
      </c>
      <c r="M89" s="68"/>
      <c r="N89" s="83"/>
      <c r="O89" s="70" t="str">
        <f>IF(N89="No","û",IF(N89="Si","ü",IF(N89="NA","l","")))</f>
        <v/>
      </c>
      <c r="P89" s="52" t="s">
        <v>574</v>
      </c>
      <c r="Q89" s="52" t="s">
        <v>155</v>
      </c>
      <c r="R89" s="52" t="s">
        <v>128</v>
      </c>
      <c r="S89" s="52" t="s">
        <v>313</v>
      </c>
      <c r="T89" s="52"/>
      <c r="U89" s="52" t="s">
        <v>95</v>
      </c>
      <c r="V89" s="52"/>
      <c r="W89" s="54"/>
      <c r="X89" s="126">
        <f t="shared" si="15"/>
        <v>1</v>
      </c>
      <c r="Y89" s="126">
        <f t="shared" si="16"/>
        <v>1</v>
      </c>
      <c r="Z89" s="126">
        <f t="shared" si="17"/>
        <v>1</v>
      </c>
      <c r="AA89" s="126">
        <f t="shared" si="18"/>
        <v>1</v>
      </c>
      <c r="AB89" s="126">
        <f t="shared" si="13"/>
        <v>1</v>
      </c>
      <c r="AC89" s="126">
        <f t="shared" si="19"/>
        <v>1</v>
      </c>
    </row>
    <row r="90" spans="2:29" s="40" customFormat="1" ht="48" hidden="1" outlineLevel="1">
      <c r="B90" s="73">
        <f t="shared" si="20"/>
        <v>76</v>
      </c>
      <c r="C90" s="52" t="s">
        <v>443</v>
      </c>
      <c r="D90" s="52">
        <v>2</v>
      </c>
      <c r="E90" s="52" t="s">
        <v>413</v>
      </c>
      <c r="F90" s="56" t="s">
        <v>212</v>
      </c>
      <c r="G90" s="215" t="s">
        <v>584</v>
      </c>
      <c r="H90" s="52">
        <v>1</v>
      </c>
      <c r="I90" s="52" t="s">
        <v>88</v>
      </c>
      <c r="J90" s="52" t="s">
        <v>314</v>
      </c>
      <c r="K90" s="52"/>
      <c r="L90" s="52" t="s">
        <v>331</v>
      </c>
      <c r="M90" s="68"/>
      <c r="N90" s="83"/>
      <c r="O90" s="70" t="str">
        <f t="shared" si="4"/>
        <v/>
      </c>
      <c r="P90" s="52" t="s">
        <v>101</v>
      </c>
      <c r="Q90" s="8" t="s">
        <v>92</v>
      </c>
      <c r="R90" s="52"/>
      <c r="S90" s="52" t="s">
        <v>313</v>
      </c>
      <c r="T90" s="52"/>
      <c r="U90" s="52" t="s">
        <v>87</v>
      </c>
      <c r="V90" s="52"/>
      <c r="W90" s="54"/>
      <c r="X90" s="126">
        <f t="shared" si="15"/>
        <v>1</v>
      </c>
      <c r="Y90" s="126">
        <f t="shared" si="16"/>
        <v>1</v>
      </c>
      <c r="Z90" s="126">
        <f t="shared" si="17"/>
        <v>1</v>
      </c>
      <c r="AA90" s="126">
        <f t="shared" si="18"/>
        <v>1</v>
      </c>
      <c r="AB90" s="126">
        <f t="shared" si="13"/>
        <v>1</v>
      </c>
      <c r="AC90" s="126">
        <f t="shared" si="19"/>
        <v>1</v>
      </c>
    </row>
    <row r="91" spans="2:29" s="40" customFormat="1" ht="36" hidden="1" outlineLevel="1">
      <c r="B91" s="73">
        <f t="shared" si="20"/>
        <v>77</v>
      </c>
      <c r="C91" s="52" t="s">
        <v>443</v>
      </c>
      <c r="D91" s="52">
        <v>2</v>
      </c>
      <c r="E91" s="52" t="s">
        <v>413</v>
      </c>
      <c r="F91" s="56" t="s">
        <v>212</v>
      </c>
      <c r="G91" s="215" t="s">
        <v>584</v>
      </c>
      <c r="H91" s="52">
        <v>2</v>
      </c>
      <c r="I91" s="52" t="s">
        <v>89</v>
      </c>
      <c r="J91" s="52" t="s">
        <v>314</v>
      </c>
      <c r="K91" s="52" t="s">
        <v>182</v>
      </c>
      <c r="L91" s="52" t="s">
        <v>331</v>
      </c>
      <c r="M91" s="68"/>
      <c r="N91" s="83"/>
      <c r="O91" s="70" t="str">
        <f t="shared" si="4"/>
        <v/>
      </c>
      <c r="P91" s="52" t="s">
        <v>111</v>
      </c>
      <c r="Q91" s="8" t="s">
        <v>94</v>
      </c>
      <c r="R91" s="52"/>
      <c r="S91" s="52" t="s">
        <v>313</v>
      </c>
      <c r="T91" s="52"/>
      <c r="U91" s="52" t="s">
        <v>87</v>
      </c>
      <c r="V91" s="52"/>
      <c r="W91" s="54"/>
      <c r="X91" s="126">
        <f t="shared" si="15"/>
        <v>1</v>
      </c>
      <c r="Y91" s="126">
        <f t="shared" si="16"/>
        <v>1</v>
      </c>
      <c r="Z91" s="126">
        <f t="shared" si="17"/>
        <v>1</v>
      </c>
      <c r="AA91" s="126">
        <f t="shared" si="18"/>
        <v>1</v>
      </c>
      <c r="AB91" s="126">
        <f t="shared" si="13"/>
        <v>1</v>
      </c>
      <c r="AC91" s="126">
        <f t="shared" si="19"/>
        <v>1</v>
      </c>
    </row>
    <row r="92" spans="2:29" s="40" customFormat="1" ht="36" hidden="1" outlineLevel="1">
      <c r="B92" s="73">
        <f t="shared" si="20"/>
        <v>78</v>
      </c>
      <c r="C92" s="52" t="s">
        <v>443</v>
      </c>
      <c r="D92" s="52">
        <v>2</v>
      </c>
      <c r="E92" s="52" t="s">
        <v>413</v>
      </c>
      <c r="F92" s="56" t="s">
        <v>212</v>
      </c>
      <c r="G92" s="215" t="s">
        <v>584</v>
      </c>
      <c r="H92" s="52">
        <v>3</v>
      </c>
      <c r="I92" s="52" t="s">
        <v>90</v>
      </c>
      <c r="J92" s="52" t="s">
        <v>182</v>
      </c>
      <c r="K92" s="52" t="s">
        <v>314</v>
      </c>
      <c r="L92" s="52" t="s">
        <v>331</v>
      </c>
      <c r="M92" s="68"/>
      <c r="N92" s="83"/>
      <c r="O92" s="70" t="str">
        <f t="shared" si="4"/>
        <v/>
      </c>
      <c r="P92" s="52" t="s">
        <v>126</v>
      </c>
      <c r="Q92" s="8" t="s">
        <v>94</v>
      </c>
      <c r="R92" s="52"/>
      <c r="S92" s="52" t="s">
        <v>313</v>
      </c>
      <c r="T92" s="52"/>
      <c r="U92" s="52" t="s">
        <v>87</v>
      </c>
      <c r="V92" s="52"/>
      <c r="W92" s="54"/>
      <c r="X92" s="126">
        <f t="shared" si="15"/>
        <v>1</v>
      </c>
      <c r="Y92" s="126">
        <f t="shared" si="16"/>
        <v>1</v>
      </c>
      <c r="Z92" s="126">
        <f t="shared" si="17"/>
        <v>1</v>
      </c>
      <c r="AA92" s="126">
        <f t="shared" si="18"/>
        <v>1</v>
      </c>
      <c r="AB92" s="126">
        <f t="shared" si="13"/>
        <v>1</v>
      </c>
      <c r="AC92" s="126">
        <f t="shared" si="19"/>
        <v>1</v>
      </c>
    </row>
    <row r="93" spans="2:29" s="40" customFormat="1" ht="36" hidden="1" outlineLevel="1">
      <c r="B93" s="73">
        <f t="shared" si="20"/>
        <v>79</v>
      </c>
      <c r="C93" s="52" t="s">
        <v>443</v>
      </c>
      <c r="D93" s="52">
        <v>2</v>
      </c>
      <c r="E93" s="52" t="s">
        <v>413</v>
      </c>
      <c r="F93" s="56" t="s">
        <v>212</v>
      </c>
      <c r="G93" s="215" t="s">
        <v>584</v>
      </c>
      <c r="H93" s="52">
        <v>4</v>
      </c>
      <c r="I93" s="52" t="s">
        <v>91</v>
      </c>
      <c r="J93" s="52" t="s">
        <v>314</v>
      </c>
      <c r="K93" s="52" t="s">
        <v>182</v>
      </c>
      <c r="L93" s="52" t="s">
        <v>331</v>
      </c>
      <c r="M93" s="68"/>
      <c r="N93" s="83"/>
      <c r="O93" s="70" t="str">
        <f t="shared" ref="O93:O168" si="21">IF(N93="No","û",IF(N93="Si","ü",IF(N93="NA","l","")))</f>
        <v/>
      </c>
      <c r="P93" s="52" t="s">
        <v>111</v>
      </c>
      <c r="Q93" s="8" t="s">
        <v>92</v>
      </c>
      <c r="R93" s="52"/>
      <c r="S93" s="52" t="s">
        <v>313</v>
      </c>
      <c r="T93" s="52"/>
      <c r="U93" s="52" t="s">
        <v>87</v>
      </c>
      <c r="V93" s="52"/>
      <c r="W93" s="54"/>
      <c r="X93" s="126">
        <f t="shared" si="15"/>
        <v>1</v>
      </c>
      <c r="Y93" s="126">
        <f t="shared" si="16"/>
        <v>1</v>
      </c>
      <c r="Z93" s="126">
        <f t="shared" si="17"/>
        <v>1</v>
      </c>
      <c r="AA93" s="126">
        <f t="shared" si="18"/>
        <v>1</v>
      </c>
      <c r="AB93" s="126">
        <f t="shared" si="13"/>
        <v>1</v>
      </c>
      <c r="AC93" s="126">
        <f t="shared" si="19"/>
        <v>1</v>
      </c>
    </row>
    <row r="94" spans="2:29" s="40" customFormat="1" ht="60" hidden="1" outlineLevel="1">
      <c r="B94" s="73">
        <f t="shared" si="20"/>
        <v>80</v>
      </c>
      <c r="C94" s="52" t="s">
        <v>443</v>
      </c>
      <c r="D94" s="52">
        <v>2</v>
      </c>
      <c r="E94" s="52" t="s">
        <v>413</v>
      </c>
      <c r="F94" s="56" t="s">
        <v>212</v>
      </c>
      <c r="G94" s="217" t="s">
        <v>459</v>
      </c>
      <c r="H94" s="56">
        <v>2</v>
      </c>
      <c r="I94" s="56" t="s">
        <v>458</v>
      </c>
      <c r="J94" s="52" t="s">
        <v>314</v>
      </c>
      <c r="K94" s="52"/>
      <c r="L94" s="52" t="s">
        <v>331</v>
      </c>
      <c r="M94" s="68"/>
      <c r="N94" s="83"/>
      <c r="O94" s="70" t="str">
        <f>IF(N94="No","û",IF(N94="Si","ü",IF(N94="NA","l","")))</f>
        <v/>
      </c>
      <c r="P94" s="52" t="s">
        <v>156</v>
      </c>
      <c r="Q94" s="52" t="s">
        <v>155</v>
      </c>
      <c r="R94" s="52" t="s">
        <v>128</v>
      </c>
      <c r="S94" s="52" t="s">
        <v>313</v>
      </c>
      <c r="T94" s="52"/>
      <c r="U94" s="52" t="s">
        <v>95</v>
      </c>
      <c r="V94" s="126"/>
      <c r="W94" s="54"/>
      <c r="X94" s="126">
        <f t="shared" si="15"/>
        <v>1</v>
      </c>
      <c r="Y94" s="126">
        <f t="shared" si="16"/>
        <v>1</v>
      </c>
      <c r="Z94" s="126">
        <f t="shared" si="17"/>
        <v>1</v>
      </c>
      <c r="AA94" s="126">
        <f t="shared" si="18"/>
        <v>1</v>
      </c>
      <c r="AB94" s="126">
        <f t="shared" si="13"/>
        <v>1</v>
      </c>
      <c r="AC94" s="126">
        <f t="shared" si="19"/>
        <v>1</v>
      </c>
    </row>
    <row r="95" spans="2:29" s="40" customFormat="1" ht="60" hidden="1" outlineLevel="1">
      <c r="B95" s="73">
        <f t="shared" si="20"/>
        <v>81</v>
      </c>
      <c r="C95" s="52" t="s">
        <v>443</v>
      </c>
      <c r="D95" s="52">
        <v>2</v>
      </c>
      <c r="E95" s="52" t="s">
        <v>413</v>
      </c>
      <c r="F95" s="56" t="s">
        <v>212</v>
      </c>
      <c r="G95" s="217" t="s">
        <v>459</v>
      </c>
      <c r="H95" s="56">
        <v>8</v>
      </c>
      <c r="I95" s="56" t="s">
        <v>529</v>
      </c>
      <c r="J95" s="52" t="s">
        <v>388</v>
      </c>
      <c r="K95" s="52" t="s">
        <v>314</v>
      </c>
      <c r="L95" s="52" t="s">
        <v>331</v>
      </c>
      <c r="M95" s="68"/>
      <c r="N95" s="83"/>
      <c r="O95" s="70" t="str">
        <f t="shared" si="21"/>
        <v/>
      </c>
      <c r="P95" s="52" t="s">
        <v>156</v>
      </c>
      <c r="Q95" s="52" t="s">
        <v>127</v>
      </c>
      <c r="R95" s="52" t="s">
        <v>128</v>
      </c>
      <c r="S95" s="52" t="s">
        <v>313</v>
      </c>
      <c r="T95" s="52"/>
      <c r="U95" s="52" t="s">
        <v>106</v>
      </c>
      <c r="V95" s="52"/>
      <c r="W95" s="54"/>
      <c r="X95" s="126">
        <f t="shared" si="15"/>
        <v>1</v>
      </c>
      <c r="Y95" s="126">
        <f t="shared" si="16"/>
        <v>1</v>
      </c>
      <c r="Z95" s="126">
        <f t="shared" si="17"/>
        <v>1</v>
      </c>
      <c r="AA95" s="126">
        <f t="shared" si="18"/>
        <v>1</v>
      </c>
      <c r="AB95" s="126">
        <f t="shared" si="13"/>
        <v>1</v>
      </c>
      <c r="AC95" s="126">
        <f t="shared" si="19"/>
        <v>1</v>
      </c>
    </row>
    <row r="96" spans="2:29" s="40" customFormat="1" ht="36" hidden="1" outlineLevel="1">
      <c r="B96" s="73">
        <f t="shared" si="20"/>
        <v>82</v>
      </c>
      <c r="C96" s="52" t="s">
        <v>443</v>
      </c>
      <c r="D96" s="52">
        <v>3.3</v>
      </c>
      <c r="E96" s="52" t="s">
        <v>187</v>
      </c>
      <c r="F96" s="52" t="s">
        <v>282</v>
      </c>
      <c r="G96" s="215"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15"/>
        <v>1</v>
      </c>
      <c r="Y96" s="126">
        <f t="shared" si="16"/>
        <v>1</v>
      </c>
      <c r="Z96" s="126">
        <f t="shared" si="17"/>
        <v>1</v>
      </c>
      <c r="AA96" s="126">
        <f t="shared" si="18"/>
        <v>1</v>
      </c>
      <c r="AB96" s="126">
        <f t="shared" si="13"/>
        <v>1</v>
      </c>
      <c r="AC96" s="126">
        <f t="shared" si="19"/>
        <v>1</v>
      </c>
    </row>
    <row r="97" spans="2:29" s="40" customFormat="1" ht="60" hidden="1" outlineLevel="1">
      <c r="B97" s="73">
        <f t="shared" si="20"/>
        <v>83</v>
      </c>
      <c r="C97" s="52" t="s">
        <v>443</v>
      </c>
      <c r="D97" s="52">
        <v>2</v>
      </c>
      <c r="E97" s="52" t="s">
        <v>413</v>
      </c>
      <c r="F97" s="56" t="s">
        <v>212</v>
      </c>
      <c r="G97" s="217" t="s">
        <v>459</v>
      </c>
      <c r="H97" s="56">
        <v>6</v>
      </c>
      <c r="I97" s="56" t="s">
        <v>564</v>
      </c>
      <c r="J97" s="52" t="s">
        <v>388</v>
      </c>
      <c r="K97" s="52"/>
      <c r="L97" s="52" t="s">
        <v>331</v>
      </c>
      <c r="M97" s="68"/>
      <c r="N97" s="83"/>
      <c r="O97" s="70" t="str">
        <f t="shared" si="21"/>
        <v/>
      </c>
      <c r="P97" s="52" t="s">
        <v>157</v>
      </c>
      <c r="Q97" s="52" t="s">
        <v>567</v>
      </c>
      <c r="R97" s="52" t="s">
        <v>128</v>
      </c>
      <c r="S97" s="52" t="s">
        <v>313</v>
      </c>
      <c r="T97" s="52"/>
      <c r="U97" s="52" t="s">
        <v>95</v>
      </c>
      <c r="V97" s="52"/>
      <c r="W97" s="54"/>
      <c r="X97" s="126">
        <f t="shared" si="15"/>
        <v>1</v>
      </c>
      <c r="Y97" s="126">
        <f t="shared" si="16"/>
        <v>1</v>
      </c>
      <c r="Z97" s="126">
        <f t="shared" si="17"/>
        <v>1</v>
      </c>
      <c r="AA97" s="126">
        <f t="shared" si="18"/>
        <v>1</v>
      </c>
      <c r="AB97" s="126">
        <f t="shared" si="13"/>
        <v>1</v>
      </c>
      <c r="AC97" s="126">
        <f t="shared" si="19"/>
        <v>1</v>
      </c>
    </row>
    <row r="98" spans="2:29" s="40" customFormat="1" ht="36" hidden="1" outlineLevel="1">
      <c r="B98" s="73">
        <f t="shared" si="20"/>
        <v>84</v>
      </c>
      <c r="C98" s="52" t="s">
        <v>443</v>
      </c>
      <c r="D98" s="52">
        <v>2</v>
      </c>
      <c r="E98" s="52" t="s">
        <v>413</v>
      </c>
      <c r="F98" s="56" t="s">
        <v>212</v>
      </c>
      <c r="G98" s="218" t="s">
        <v>273</v>
      </c>
      <c r="H98" s="58">
        <v>1</v>
      </c>
      <c r="I98" s="59" t="s">
        <v>279</v>
      </c>
      <c r="J98" s="52" t="s">
        <v>182</v>
      </c>
      <c r="K98" s="52" t="s">
        <v>174</v>
      </c>
      <c r="L98" s="52" t="s">
        <v>331</v>
      </c>
      <c r="M98" s="68"/>
      <c r="N98" s="83"/>
      <c r="O98" s="70" t="str">
        <f t="shared" si="21"/>
        <v/>
      </c>
      <c r="P98" s="52" t="s">
        <v>532</v>
      </c>
      <c r="Q98" s="52" t="s">
        <v>281</v>
      </c>
      <c r="R98" s="52"/>
      <c r="S98" s="52" t="s">
        <v>313</v>
      </c>
      <c r="T98" s="52"/>
      <c r="U98" s="52"/>
      <c r="V98" s="52"/>
      <c r="W98" s="54"/>
      <c r="X98" s="126">
        <f t="shared" si="15"/>
        <v>1</v>
      </c>
      <c r="Y98" s="126">
        <f t="shared" si="16"/>
        <v>1</v>
      </c>
      <c r="Z98" s="126">
        <f t="shared" si="17"/>
        <v>1</v>
      </c>
      <c r="AA98" s="126">
        <f t="shared" si="18"/>
        <v>1</v>
      </c>
      <c r="AB98" s="126">
        <f t="shared" si="13"/>
        <v>1</v>
      </c>
      <c r="AC98" s="126">
        <f t="shared" si="19"/>
        <v>1</v>
      </c>
    </row>
    <row r="99" spans="2:29" s="40" customFormat="1" ht="84" hidden="1" outlineLevel="1">
      <c r="B99" s="73">
        <f t="shared" si="20"/>
        <v>85</v>
      </c>
      <c r="C99" s="52" t="s">
        <v>443</v>
      </c>
      <c r="D99" s="52">
        <v>2</v>
      </c>
      <c r="E99" s="52" t="s">
        <v>413</v>
      </c>
      <c r="F99" s="56" t="s">
        <v>212</v>
      </c>
      <c r="G99" s="215" t="s">
        <v>273</v>
      </c>
      <c r="H99" s="52">
        <v>1</v>
      </c>
      <c r="I99" s="55" t="s">
        <v>274</v>
      </c>
      <c r="J99" s="52" t="s">
        <v>182</v>
      </c>
      <c r="K99" s="52" t="s">
        <v>174</v>
      </c>
      <c r="L99" s="52" t="s">
        <v>331</v>
      </c>
      <c r="M99" s="68"/>
      <c r="N99" s="83"/>
      <c r="O99" s="70" t="str">
        <f t="shared" si="21"/>
        <v/>
      </c>
      <c r="P99" s="52" t="s">
        <v>76</v>
      </c>
      <c r="Q99" s="52" t="s">
        <v>81</v>
      </c>
      <c r="R99" s="52"/>
      <c r="S99" s="52" t="s">
        <v>313</v>
      </c>
      <c r="T99" s="52"/>
      <c r="U99" s="52" t="s">
        <v>75</v>
      </c>
      <c r="V99" s="52"/>
      <c r="W99" s="54"/>
      <c r="X99" s="126">
        <f t="shared" si="15"/>
        <v>1</v>
      </c>
      <c r="Y99" s="126">
        <f t="shared" si="16"/>
        <v>1</v>
      </c>
      <c r="Z99" s="126">
        <f t="shared" si="17"/>
        <v>1</v>
      </c>
      <c r="AA99" s="126">
        <f t="shared" si="18"/>
        <v>1</v>
      </c>
      <c r="AB99" s="126">
        <f t="shared" si="13"/>
        <v>1</v>
      </c>
      <c r="AC99" s="126">
        <f t="shared" si="19"/>
        <v>1</v>
      </c>
    </row>
    <row r="100" spans="2:29" s="40" customFormat="1" ht="36" hidden="1" outlineLevel="1">
      <c r="B100" s="73">
        <f t="shared" si="20"/>
        <v>86</v>
      </c>
      <c r="C100" s="52" t="s">
        <v>443</v>
      </c>
      <c r="D100" s="56">
        <v>2.4</v>
      </c>
      <c r="E100" s="56" t="s">
        <v>178</v>
      </c>
      <c r="F100" s="56"/>
      <c r="G100" s="217" t="s">
        <v>273</v>
      </c>
      <c r="H100" s="56">
        <v>3</v>
      </c>
      <c r="I100" s="57" t="s">
        <v>210</v>
      </c>
      <c r="J100" s="56" t="s">
        <v>182</v>
      </c>
      <c r="K100" s="56" t="s">
        <v>174</v>
      </c>
      <c r="L100" s="52" t="s">
        <v>331</v>
      </c>
      <c r="M100" s="68"/>
      <c r="N100" s="67"/>
      <c r="O100" s="70" t="str">
        <f t="shared" si="21"/>
        <v/>
      </c>
      <c r="P100" s="56" t="s">
        <v>76</v>
      </c>
      <c r="Q100" s="56" t="s">
        <v>82</v>
      </c>
      <c r="R100" s="56"/>
      <c r="S100" s="56"/>
      <c r="T100" s="56"/>
      <c r="U100" s="56" t="s">
        <v>75</v>
      </c>
      <c r="V100" s="52"/>
      <c r="W100" s="54"/>
      <c r="X100" s="126">
        <f t="shared" si="15"/>
        <v>1</v>
      </c>
      <c r="Y100" s="126">
        <f t="shared" si="16"/>
        <v>1</v>
      </c>
      <c r="Z100" s="126">
        <f t="shared" si="17"/>
        <v>1</v>
      </c>
      <c r="AA100" s="126">
        <f t="shared" si="18"/>
        <v>1</v>
      </c>
      <c r="AB100" s="126">
        <f t="shared" ref="AB100:AB163" si="22">IF(($G100="CM")*AND(N100&lt;&gt;""),$N100, 1)</f>
        <v>1</v>
      </c>
      <c r="AC100" s="126">
        <f t="shared" si="19"/>
        <v>1</v>
      </c>
    </row>
    <row r="101" spans="2:29" s="40" customFormat="1" ht="36" hidden="1" outlineLevel="1">
      <c r="B101" s="73">
        <f t="shared" si="20"/>
        <v>87</v>
      </c>
      <c r="C101" s="52" t="s">
        <v>443</v>
      </c>
      <c r="D101" s="52">
        <v>2</v>
      </c>
      <c r="E101" s="52" t="s">
        <v>413</v>
      </c>
      <c r="F101" s="56" t="s">
        <v>212</v>
      </c>
      <c r="G101" s="215" t="s">
        <v>273</v>
      </c>
      <c r="H101" s="52">
        <v>4</v>
      </c>
      <c r="I101" s="55" t="s">
        <v>275</v>
      </c>
      <c r="J101" s="52" t="s">
        <v>182</v>
      </c>
      <c r="K101" s="52" t="s">
        <v>174</v>
      </c>
      <c r="L101" s="52" t="s">
        <v>331</v>
      </c>
      <c r="M101" s="68"/>
      <c r="N101" s="83"/>
      <c r="O101" s="70" t="str">
        <f t="shared" si="21"/>
        <v/>
      </c>
      <c r="P101" s="52" t="s">
        <v>76</v>
      </c>
      <c r="Q101" s="52" t="s">
        <v>77</v>
      </c>
      <c r="R101" s="52"/>
      <c r="S101" s="52" t="s">
        <v>313</v>
      </c>
      <c r="T101" s="52"/>
      <c r="U101" s="52" t="s">
        <v>75</v>
      </c>
      <c r="V101" s="52"/>
      <c r="W101" s="54"/>
      <c r="X101" s="126">
        <f t="shared" si="15"/>
        <v>1</v>
      </c>
      <c r="Y101" s="126">
        <f t="shared" si="16"/>
        <v>1</v>
      </c>
      <c r="Z101" s="126">
        <f t="shared" si="17"/>
        <v>1</v>
      </c>
      <c r="AA101" s="126">
        <f t="shared" si="18"/>
        <v>1</v>
      </c>
      <c r="AB101" s="126">
        <f t="shared" si="22"/>
        <v>1</v>
      </c>
      <c r="AC101" s="126">
        <f t="shared" si="19"/>
        <v>1</v>
      </c>
    </row>
    <row r="102" spans="2:29" s="40" customFormat="1" ht="36" hidden="1" outlineLevel="1">
      <c r="B102" s="73">
        <f t="shared" si="20"/>
        <v>88</v>
      </c>
      <c r="C102" s="52" t="s">
        <v>443</v>
      </c>
      <c r="D102" s="52">
        <v>2</v>
      </c>
      <c r="E102" s="52" t="s">
        <v>413</v>
      </c>
      <c r="F102" s="56" t="s">
        <v>212</v>
      </c>
      <c r="G102" s="215" t="s">
        <v>273</v>
      </c>
      <c r="H102" s="52">
        <v>5</v>
      </c>
      <c r="I102" s="55" t="s">
        <v>276</v>
      </c>
      <c r="J102" s="52" t="s">
        <v>182</v>
      </c>
      <c r="K102" s="52" t="s">
        <v>174</v>
      </c>
      <c r="L102" s="52" t="s">
        <v>331</v>
      </c>
      <c r="M102" s="68"/>
      <c r="N102" s="83"/>
      <c r="O102" s="70" t="str">
        <f t="shared" si="21"/>
        <v/>
      </c>
      <c r="P102" s="52" t="s">
        <v>76</v>
      </c>
      <c r="Q102" s="52" t="s">
        <v>84</v>
      </c>
      <c r="R102" s="52"/>
      <c r="S102" s="52" t="s">
        <v>313</v>
      </c>
      <c r="T102" s="52"/>
      <c r="U102" s="52" t="s">
        <v>75</v>
      </c>
      <c r="V102" s="52"/>
      <c r="W102" s="54"/>
      <c r="X102" s="126">
        <f t="shared" si="15"/>
        <v>1</v>
      </c>
      <c r="Y102" s="126">
        <f t="shared" si="16"/>
        <v>1</v>
      </c>
      <c r="Z102" s="126">
        <f t="shared" si="17"/>
        <v>1</v>
      </c>
      <c r="AA102" s="126">
        <f t="shared" si="18"/>
        <v>1</v>
      </c>
      <c r="AB102" s="126">
        <f t="shared" si="22"/>
        <v>1</v>
      </c>
      <c r="AC102" s="126">
        <f t="shared" si="19"/>
        <v>1</v>
      </c>
    </row>
    <row r="103" spans="2:29" s="40" customFormat="1" ht="36" hidden="1" outlineLevel="1">
      <c r="B103" s="73">
        <f t="shared" si="20"/>
        <v>89</v>
      </c>
      <c r="C103" s="52" t="s">
        <v>443</v>
      </c>
      <c r="D103" s="52">
        <v>2</v>
      </c>
      <c r="E103" s="52" t="s">
        <v>413</v>
      </c>
      <c r="F103" s="56" t="s">
        <v>213</v>
      </c>
      <c r="G103" s="217" t="s">
        <v>459</v>
      </c>
      <c r="H103" s="56">
        <v>1</v>
      </c>
      <c r="I103" s="56" t="s">
        <v>458</v>
      </c>
      <c r="J103" s="52" t="s">
        <v>182</v>
      </c>
      <c r="K103" s="52"/>
      <c r="L103" s="52" t="s">
        <v>331</v>
      </c>
      <c r="M103" s="68"/>
      <c r="N103" s="83"/>
      <c r="O103" s="70" t="str">
        <f t="shared" si="21"/>
        <v/>
      </c>
      <c r="P103" s="52" t="s">
        <v>159</v>
      </c>
      <c r="Q103" s="52" t="s">
        <v>155</v>
      </c>
      <c r="R103" s="52" t="s">
        <v>128</v>
      </c>
      <c r="S103" s="52" t="s">
        <v>477</v>
      </c>
      <c r="T103" s="52"/>
      <c r="U103" s="52" t="s">
        <v>95</v>
      </c>
      <c r="V103" s="52"/>
      <c r="W103" s="54"/>
      <c r="X103" s="126">
        <f t="shared" si="15"/>
        <v>1</v>
      </c>
      <c r="Y103" s="126">
        <f t="shared" si="16"/>
        <v>1</v>
      </c>
      <c r="Z103" s="126">
        <f t="shared" si="17"/>
        <v>1</v>
      </c>
      <c r="AA103" s="126">
        <f t="shared" si="18"/>
        <v>1</v>
      </c>
      <c r="AB103" s="126">
        <f t="shared" si="22"/>
        <v>1</v>
      </c>
      <c r="AC103" s="126">
        <f t="shared" si="19"/>
        <v>1</v>
      </c>
    </row>
    <row r="104" spans="2:29" s="40" customFormat="1" ht="48" hidden="1" outlineLevel="1">
      <c r="B104" s="73">
        <f t="shared" si="20"/>
        <v>90</v>
      </c>
      <c r="C104" s="52" t="s">
        <v>443</v>
      </c>
      <c r="D104" s="52">
        <v>2</v>
      </c>
      <c r="E104" s="52" t="s">
        <v>413</v>
      </c>
      <c r="F104" s="56" t="s">
        <v>212</v>
      </c>
      <c r="G104" s="215" t="s">
        <v>470</v>
      </c>
      <c r="H104" s="52">
        <v>1</v>
      </c>
      <c r="I104" s="52" t="s">
        <v>88</v>
      </c>
      <c r="J104" s="52" t="s">
        <v>314</v>
      </c>
      <c r="K104" s="52"/>
      <c r="L104" s="52" t="s">
        <v>331</v>
      </c>
      <c r="M104" s="68"/>
      <c r="N104" s="83"/>
      <c r="O104" s="70" t="str">
        <f>IF(N104="No","û",IF(N104="Si","ü",IF(N104="NA","l","")))</f>
        <v/>
      </c>
      <c r="P104" s="52" t="s">
        <v>102</v>
      </c>
      <c r="Q104" s="8" t="s">
        <v>92</v>
      </c>
      <c r="R104" s="52"/>
      <c r="S104" s="52" t="s">
        <v>477</v>
      </c>
      <c r="T104" s="52"/>
      <c r="U104" s="52" t="s">
        <v>87</v>
      </c>
      <c r="V104" s="52"/>
      <c r="W104" s="54"/>
      <c r="X104" s="126">
        <f t="shared" si="15"/>
        <v>1</v>
      </c>
      <c r="Y104" s="126">
        <f t="shared" si="16"/>
        <v>1</v>
      </c>
      <c r="Z104" s="126">
        <f t="shared" si="17"/>
        <v>1</v>
      </c>
      <c r="AA104" s="126">
        <f t="shared" si="18"/>
        <v>1</v>
      </c>
      <c r="AB104" s="126">
        <f t="shared" si="22"/>
        <v>1</v>
      </c>
      <c r="AC104" s="126">
        <f t="shared" si="19"/>
        <v>1</v>
      </c>
    </row>
    <row r="105" spans="2:29" s="40" customFormat="1" ht="36" hidden="1" outlineLevel="1">
      <c r="B105" s="73">
        <f t="shared" si="20"/>
        <v>91</v>
      </c>
      <c r="C105" s="52" t="s">
        <v>443</v>
      </c>
      <c r="D105" s="52">
        <v>2</v>
      </c>
      <c r="E105" s="52" t="s">
        <v>413</v>
      </c>
      <c r="F105" s="56" t="s">
        <v>212</v>
      </c>
      <c r="G105" s="215" t="s">
        <v>470</v>
      </c>
      <c r="H105" s="52">
        <v>2</v>
      </c>
      <c r="I105" s="52" t="s">
        <v>89</v>
      </c>
      <c r="J105" s="52" t="s">
        <v>314</v>
      </c>
      <c r="K105" s="52" t="s">
        <v>182</v>
      </c>
      <c r="L105" s="52" t="s">
        <v>331</v>
      </c>
      <c r="M105" s="68"/>
      <c r="N105" s="83"/>
      <c r="O105" s="70" t="str">
        <f>IF(N105="No","û",IF(N105="Si","ü",IF(N105="NA","l","")))</f>
        <v/>
      </c>
      <c r="P105" s="52" t="s">
        <v>111</v>
      </c>
      <c r="Q105" s="8" t="s">
        <v>94</v>
      </c>
      <c r="R105" s="52"/>
      <c r="S105" s="52" t="s">
        <v>477</v>
      </c>
      <c r="T105" s="52"/>
      <c r="U105" s="52" t="s">
        <v>87</v>
      </c>
      <c r="V105" s="52"/>
      <c r="W105" s="54"/>
      <c r="X105" s="126">
        <f t="shared" si="15"/>
        <v>1</v>
      </c>
      <c r="Y105" s="126">
        <f t="shared" si="16"/>
        <v>1</v>
      </c>
      <c r="Z105" s="126">
        <f t="shared" si="17"/>
        <v>1</v>
      </c>
      <c r="AA105" s="126">
        <f t="shared" si="18"/>
        <v>1</v>
      </c>
      <c r="AB105" s="126">
        <f t="shared" si="22"/>
        <v>1</v>
      </c>
      <c r="AC105" s="126">
        <f t="shared" si="19"/>
        <v>1</v>
      </c>
    </row>
    <row r="106" spans="2:29" s="40" customFormat="1" ht="36" hidden="1" outlineLevel="1">
      <c r="B106" s="73">
        <f t="shared" si="20"/>
        <v>92</v>
      </c>
      <c r="C106" s="52" t="s">
        <v>443</v>
      </c>
      <c r="D106" s="52">
        <v>2</v>
      </c>
      <c r="E106" s="52" t="s">
        <v>413</v>
      </c>
      <c r="F106" s="56" t="s">
        <v>212</v>
      </c>
      <c r="G106" s="215" t="s">
        <v>470</v>
      </c>
      <c r="H106" s="52">
        <v>3</v>
      </c>
      <c r="I106" s="52" t="s">
        <v>90</v>
      </c>
      <c r="J106" s="52" t="s">
        <v>182</v>
      </c>
      <c r="K106" s="52" t="s">
        <v>314</v>
      </c>
      <c r="L106" s="52" t="s">
        <v>331</v>
      </c>
      <c r="M106" s="68"/>
      <c r="N106" s="83"/>
      <c r="O106" s="70" t="str">
        <f>IF(N106="No","û",IF(N106="Si","ü",IF(N106="NA","l","")))</f>
        <v/>
      </c>
      <c r="P106" s="52" t="s">
        <v>126</v>
      </c>
      <c r="Q106" s="8" t="s">
        <v>94</v>
      </c>
      <c r="R106" s="52"/>
      <c r="S106" s="52" t="s">
        <v>477</v>
      </c>
      <c r="T106" s="52"/>
      <c r="U106" s="52" t="s">
        <v>87</v>
      </c>
      <c r="V106" s="52"/>
      <c r="W106" s="54"/>
      <c r="X106" s="126">
        <f t="shared" si="15"/>
        <v>1</v>
      </c>
      <c r="Y106" s="126">
        <f t="shared" si="16"/>
        <v>1</v>
      </c>
      <c r="Z106" s="126">
        <f t="shared" si="17"/>
        <v>1</v>
      </c>
      <c r="AA106" s="126">
        <f t="shared" si="18"/>
        <v>1</v>
      </c>
      <c r="AB106" s="126">
        <f t="shared" si="22"/>
        <v>1</v>
      </c>
      <c r="AC106" s="126">
        <f t="shared" si="19"/>
        <v>1</v>
      </c>
    </row>
    <row r="107" spans="2:29" s="40" customFormat="1" ht="36" hidden="1" outlineLevel="1">
      <c r="B107" s="73">
        <f t="shared" si="20"/>
        <v>93</v>
      </c>
      <c r="C107" s="52" t="s">
        <v>443</v>
      </c>
      <c r="D107" s="52">
        <v>2</v>
      </c>
      <c r="E107" s="52" t="s">
        <v>413</v>
      </c>
      <c r="F107" s="56" t="s">
        <v>212</v>
      </c>
      <c r="G107" s="215" t="s">
        <v>470</v>
      </c>
      <c r="H107" s="52">
        <v>4</v>
      </c>
      <c r="I107" s="52" t="s">
        <v>91</v>
      </c>
      <c r="J107" s="52" t="s">
        <v>314</v>
      </c>
      <c r="K107" s="52" t="s">
        <v>182</v>
      </c>
      <c r="L107" s="52" t="s">
        <v>331</v>
      </c>
      <c r="M107" s="68"/>
      <c r="N107" s="83"/>
      <c r="O107" s="70" t="str">
        <f t="shared" si="21"/>
        <v/>
      </c>
      <c r="P107" s="52" t="s">
        <v>111</v>
      </c>
      <c r="Q107" s="8" t="s">
        <v>92</v>
      </c>
      <c r="R107" s="52"/>
      <c r="S107" s="52" t="s">
        <v>477</v>
      </c>
      <c r="T107" s="52"/>
      <c r="U107" s="52" t="s">
        <v>87</v>
      </c>
      <c r="V107" s="52"/>
      <c r="W107" s="54"/>
      <c r="X107" s="126">
        <f t="shared" si="15"/>
        <v>1</v>
      </c>
      <c r="Y107" s="126">
        <f t="shared" si="16"/>
        <v>1</v>
      </c>
      <c r="Z107" s="126">
        <f t="shared" si="17"/>
        <v>1</v>
      </c>
      <c r="AA107" s="126">
        <f t="shared" si="18"/>
        <v>1</v>
      </c>
      <c r="AB107" s="126">
        <f t="shared" si="22"/>
        <v>1</v>
      </c>
      <c r="AC107" s="126">
        <f t="shared" si="19"/>
        <v>1</v>
      </c>
    </row>
    <row r="108" spans="2:29" s="40" customFormat="1" ht="36" hidden="1" outlineLevel="1">
      <c r="B108" s="73">
        <f t="shared" si="20"/>
        <v>94</v>
      </c>
      <c r="C108" s="52" t="s">
        <v>443</v>
      </c>
      <c r="D108" s="52">
        <v>2</v>
      </c>
      <c r="E108" s="52" t="s">
        <v>413</v>
      </c>
      <c r="F108" s="56" t="s">
        <v>213</v>
      </c>
      <c r="G108" s="217" t="s">
        <v>459</v>
      </c>
      <c r="H108" s="56">
        <v>2</v>
      </c>
      <c r="I108" s="56" t="s">
        <v>458</v>
      </c>
      <c r="J108" s="52" t="s">
        <v>314</v>
      </c>
      <c r="K108" s="52"/>
      <c r="L108" s="52" t="s">
        <v>331</v>
      </c>
      <c r="M108" s="68"/>
      <c r="N108" s="83"/>
      <c r="O108" s="70" t="str">
        <f t="shared" si="21"/>
        <v/>
      </c>
      <c r="P108" s="52" t="s">
        <v>159</v>
      </c>
      <c r="Q108" s="52" t="s">
        <v>160</v>
      </c>
      <c r="R108" s="52" t="s">
        <v>128</v>
      </c>
      <c r="S108" s="52" t="s">
        <v>477</v>
      </c>
      <c r="T108" s="52"/>
      <c r="U108" s="52" t="s">
        <v>95</v>
      </c>
      <c r="V108" s="52"/>
      <c r="W108" s="54"/>
      <c r="X108" s="126">
        <f t="shared" si="15"/>
        <v>1</v>
      </c>
      <c r="Y108" s="126">
        <f t="shared" si="16"/>
        <v>1</v>
      </c>
      <c r="Z108" s="126">
        <f t="shared" si="17"/>
        <v>1</v>
      </c>
      <c r="AA108" s="126">
        <f t="shared" si="18"/>
        <v>1</v>
      </c>
      <c r="AB108" s="126">
        <f t="shared" si="22"/>
        <v>1</v>
      </c>
      <c r="AC108" s="126">
        <f t="shared" si="19"/>
        <v>1</v>
      </c>
    </row>
    <row r="109" spans="2:29" s="40" customFormat="1" ht="36" hidden="1" outlineLevel="1">
      <c r="B109" s="73">
        <f t="shared" si="20"/>
        <v>95</v>
      </c>
      <c r="C109" s="52" t="s">
        <v>443</v>
      </c>
      <c r="D109" s="52">
        <v>2</v>
      </c>
      <c r="E109" s="52" t="s">
        <v>413</v>
      </c>
      <c r="F109" s="56" t="s">
        <v>213</v>
      </c>
      <c r="G109" s="217" t="s">
        <v>459</v>
      </c>
      <c r="H109" s="56">
        <v>8</v>
      </c>
      <c r="I109" s="56" t="s">
        <v>529</v>
      </c>
      <c r="J109" s="52" t="s">
        <v>388</v>
      </c>
      <c r="K109" s="52"/>
      <c r="L109" s="52" t="s">
        <v>331</v>
      </c>
      <c r="M109" s="68"/>
      <c r="N109" s="83"/>
      <c r="O109" s="70" t="str">
        <f t="shared" si="21"/>
        <v/>
      </c>
      <c r="P109" s="52" t="s">
        <v>159</v>
      </c>
      <c r="Q109" s="52" t="s">
        <v>127</v>
      </c>
      <c r="R109" s="52"/>
      <c r="S109" s="52" t="s">
        <v>477</v>
      </c>
      <c r="T109" s="52"/>
      <c r="U109" s="52" t="s">
        <v>106</v>
      </c>
      <c r="V109" s="52"/>
      <c r="W109" s="54"/>
      <c r="X109" s="126">
        <f t="shared" si="15"/>
        <v>1</v>
      </c>
      <c r="Y109" s="126">
        <f t="shared" si="16"/>
        <v>1</v>
      </c>
      <c r="Z109" s="126">
        <f t="shared" si="17"/>
        <v>1</v>
      </c>
      <c r="AA109" s="126">
        <f t="shared" si="18"/>
        <v>1</v>
      </c>
      <c r="AB109" s="126">
        <f t="shared" si="22"/>
        <v>1</v>
      </c>
      <c r="AC109" s="126">
        <f t="shared" si="19"/>
        <v>1</v>
      </c>
    </row>
    <row r="110" spans="2:29" s="40" customFormat="1" ht="36" hidden="1" outlineLevel="1">
      <c r="B110" s="73">
        <f t="shared" si="20"/>
        <v>96</v>
      </c>
      <c r="C110" s="52" t="s">
        <v>443</v>
      </c>
      <c r="D110" s="52">
        <v>2</v>
      </c>
      <c r="E110" s="52" t="s">
        <v>413</v>
      </c>
      <c r="F110" s="52" t="s">
        <v>282</v>
      </c>
      <c r="G110" s="215"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15"/>
        <v>1</v>
      </c>
      <c r="Y110" s="126">
        <f t="shared" si="16"/>
        <v>1</v>
      </c>
      <c r="Z110" s="126">
        <f t="shared" si="17"/>
        <v>1</v>
      </c>
      <c r="AA110" s="126">
        <f t="shared" si="18"/>
        <v>1</v>
      </c>
      <c r="AB110" s="126">
        <f t="shared" si="22"/>
        <v>1</v>
      </c>
      <c r="AC110" s="126">
        <f t="shared" si="19"/>
        <v>1</v>
      </c>
    </row>
    <row r="111" spans="2:29" s="40" customFormat="1" ht="36" hidden="1" outlineLevel="1">
      <c r="B111" s="73">
        <f t="shared" si="20"/>
        <v>97</v>
      </c>
      <c r="C111" s="52" t="s">
        <v>443</v>
      </c>
      <c r="D111" s="52">
        <v>2</v>
      </c>
      <c r="E111" s="52" t="s">
        <v>413</v>
      </c>
      <c r="F111" s="56" t="s">
        <v>213</v>
      </c>
      <c r="G111" s="217" t="s">
        <v>459</v>
      </c>
      <c r="H111" s="56">
        <v>5</v>
      </c>
      <c r="I111" s="56" t="s">
        <v>564</v>
      </c>
      <c r="J111" s="52" t="s">
        <v>388</v>
      </c>
      <c r="K111" s="52"/>
      <c r="L111" s="52" t="s">
        <v>331</v>
      </c>
      <c r="M111" s="68"/>
      <c r="N111" s="83"/>
      <c r="O111" s="70" t="str">
        <f t="shared" si="21"/>
        <v/>
      </c>
      <c r="P111" s="52" t="s">
        <v>159</v>
      </c>
      <c r="Q111" s="52" t="s">
        <v>567</v>
      </c>
      <c r="R111" s="52" t="s">
        <v>128</v>
      </c>
      <c r="S111" s="52" t="s">
        <v>477</v>
      </c>
      <c r="T111" s="52"/>
      <c r="U111" s="52" t="s">
        <v>95</v>
      </c>
      <c r="V111" s="52"/>
      <c r="W111" s="54"/>
      <c r="X111" s="126">
        <f t="shared" si="15"/>
        <v>1</v>
      </c>
      <c r="Y111" s="126">
        <f t="shared" si="16"/>
        <v>1</v>
      </c>
      <c r="Z111" s="126">
        <f t="shared" si="17"/>
        <v>1</v>
      </c>
      <c r="AA111" s="126">
        <f t="shared" si="18"/>
        <v>1</v>
      </c>
      <c r="AB111" s="126">
        <f t="shared" si="22"/>
        <v>1</v>
      </c>
      <c r="AC111" s="126">
        <f t="shared" si="19"/>
        <v>1</v>
      </c>
    </row>
    <row r="112" spans="2:29" s="40" customFormat="1" ht="72" hidden="1" outlineLevel="1">
      <c r="B112" s="73">
        <f t="shared" si="20"/>
        <v>98</v>
      </c>
      <c r="C112" s="52" t="s">
        <v>443</v>
      </c>
      <c r="D112" s="52">
        <v>2</v>
      </c>
      <c r="E112" s="52" t="s">
        <v>413</v>
      </c>
      <c r="F112" s="56" t="s">
        <v>213</v>
      </c>
      <c r="G112" s="217" t="s">
        <v>459</v>
      </c>
      <c r="H112" s="56">
        <v>1</v>
      </c>
      <c r="I112" s="56" t="s">
        <v>458</v>
      </c>
      <c r="J112" s="52" t="s">
        <v>182</v>
      </c>
      <c r="K112" s="52"/>
      <c r="L112" s="52" t="s">
        <v>331</v>
      </c>
      <c r="M112" s="68"/>
      <c r="N112" s="83"/>
      <c r="O112" s="70" t="str">
        <f t="shared" si="21"/>
        <v/>
      </c>
      <c r="P112" s="52" t="s">
        <v>161</v>
      </c>
      <c r="Q112" s="52" t="s">
        <v>155</v>
      </c>
      <c r="R112" s="52" t="s">
        <v>128</v>
      </c>
      <c r="S112" s="52" t="s">
        <v>552</v>
      </c>
      <c r="T112" s="52"/>
      <c r="U112" s="52" t="s">
        <v>95</v>
      </c>
      <c r="V112" s="52"/>
      <c r="W112" s="54"/>
      <c r="X112" s="126">
        <f t="shared" si="15"/>
        <v>1</v>
      </c>
      <c r="Y112" s="126">
        <f t="shared" si="16"/>
        <v>1</v>
      </c>
      <c r="Z112" s="126">
        <f t="shared" si="17"/>
        <v>1</v>
      </c>
      <c r="AA112" s="126">
        <f t="shared" si="18"/>
        <v>1</v>
      </c>
      <c r="AB112" s="126">
        <f t="shared" si="22"/>
        <v>1</v>
      </c>
      <c r="AC112" s="126">
        <f t="shared" si="19"/>
        <v>1</v>
      </c>
    </row>
    <row r="113" spans="2:29" s="40" customFormat="1" ht="96" hidden="1" outlineLevel="1">
      <c r="B113" s="73">
        <f t="shared" si="20"/>
        <v>99</v>
      </c>
      <c r="C113" s="52" t="s">
        <v>443</v>
      </c>
      <c r="D113" s="52">
        <v>2</v>
      </c>
      <c r="E113" s="52" t="s">
        <v>413</v>
      </c>
      <c r="F113" s="56" t="s">
        <v>214</v>
      </c>
      <c r="G113" s="215" t="s">
        <v>470</v>
      </c>
      <c r="H113" s="52">
        <v>1</v>
      </c>
      <c r="I113" s="52" t="s">
        <v>88</v>
      </c>
      <c r="J113" s="52" t="s">
        <v>314</v>
      </c>
      <c r="K113" s="52"/>
      <c r="L113" s="52" t="s">
        <v>331</v>
      </c>
      <c r="M113" s="68"/>
      <c r="N113" s="83"/>
      <c r="O113" s="70" t="str">
        <f t="shared" si="21"/>
        <v/>
      </c>
      <c r="P113" s="52" t="s">
        <v>103</v>
      </c>
      <c r="Q113" s="8" t="s">
        <v>92</v>
      </c>
      <c r="R113" s="52"/>
      <c r="S113" s="52" t="s">
        <v>552</v>
      </c>
      <c r="T113" s="52"/>
      <c r="U113" s="52" t="s">
        <v>87</v>
      </c>
      <c r="V113" s="52"/>
      <c r="W113" s="54"/>
      <c r="X113" s="126">
        <f t="shared" si="15"/>
        <v>1</v>
      </c>
      <c r="Y113" s="126">
        <f t="shared" si="16"/>
        <v>1</v>
      </c>
      <c r="Z113" s="126">
        <f t="shared" si="17"/>
        <v>1</v>
      </c>
      <c r="AA113" s="126">
        <f t="shared" si="18"/>
        <v>1</v>
      </c>
      <c r="AB113" s="126">
        <f t="shared" si="22"/>
        <v>1</v>
      </c>
      <c r="AC113" s="126">
        <f t="shared" si="19"/>
        <v>1</v>
      </c>
    </row>
    <row r="114" spans="2:29" s="40" customFormat="1" ht="36" hidden="1" outlineLevel="1">
      <c r="B114" s="73">
        <f t="shared" si="20"/>
        <v>100</v>
      </c>
      <c r="C114" s="52" t="s">
        <v>443</v>
      </c>
      <c r="D114" s="52">
        <v>2</v>
      </c>
      <c r="E114" s="52" t="s">
        <v>413</v>
      </c>
      <c r="F114" s="56" t="s">
        <v>214</v>
      </c>
      <c r="G114" s="215" t="s">
        <v>470</v>
      </c>
      <c r="H114" s="52">
        <v>2</v>
      </c>
      <c r="I114" s="52" t="s">
        <v>89</v>
      </c>
      <c r="J114" s="52" t="s">
        <v>314</v>
      </c>
      <c r="K114" s="52" t="s">
        <v>182</v>
      </c>
      <c r="L114" s="52" t="s">
        <v>331</v>
      </c>
      <c r="M114" s="68"/>
      <c r="N114" s="83"/>
      <c r="O114" s="70" t="str">
        <f t="shared" si="21"/>
        <v/>
      </c>
      <c r="P114" s="52" t="s">
        <v>111</v>
      </c>
      <c r="Q114" s="8" t="s">
        <v>94</v>
      </c>
      <c r="R114" s="52"/>
      <c r="S114" s="52" t="s">
        <v>552</v>
      </c>
      <c r="T114" s="52"/>
      <c r="U114" s="52" t="s">
        <v>87</v>
      </c>
      <c r="V114" s="52"/>
      <c r="W114" s="54"/>
      <c r="X114" s="126">
        <f t="shared" si="15"/>
        <v>1</v>
      </c>
      <c r="Y114" s="126">
        <f t="shared" si="16"/>
        <v>1</v>
      </c>
      <c r="Z114" s="126">
        <f t="shared" si="17"/>
        <v>1</v>
      </c>
      <c r="AA114" s="126">
        <f t="shared" si="18"/>
        <v>1</v>
      </c>
      <c r="AB114" s="126">
        <f t="shared" si="22"/>
        <v>1</v>
      </c>
      <c r="AC114" s="126">
        <f t="shared" si="19"/>
        <v>1</v>
      </c>
    </row>
    <row r="115" spans="2:29" s="40" customFormat="1" ht="36" hidden="1" outlineLevel="1">
      <c r="B115" s="73">
        <f t="shared" si="20"/>
        <v>101</v>
      </c>
      <c r="C115" s="52" t="s">
        <v>443</v>
      </c>
      <c r="D115" s="52">
        <v>2</v>
      </c>
      <c r="E115" s="52" t="s">
        <v>413</v>
      </c>
      <c r="F115" s="56" t="s">
        <v>214</v>
      </c>
      <c r="G115" s="215" t="s">
        <v>470</v>
      </c>
      <c r="H115" s="52">
        <v>3</v>
      </c>
      <c r="I115" s="52" t="s">
        <v>90</v>
      </c>
      <c r="J115" s="52" t="s">
        <v>182</v>
      </c>
      <c r="K115" s="52" t="s">
        <v>314</v>
      </c>
      <c r="L115" s="52" t="s">
        <v>331</v>
      </c>
      <c r="M115" s="68"/>
      <c r="N115" s="83"/>
      <c r="O115" s="70" t="str">
        <f t="shared" si="21"/>
        <v/>
      </c>
      <c r="P115" s="52" t="s">
        <v>126</v>
      </c>
      <c r="Q115" s="8" t="s">
        <v>94</v>
      </c>
      <c r="R115" s="52"/>
      <c r="S115" s="52" t="s">
        <v>552</v>
      </c>
      <c r="T115" s="52"/>
      <c r="U115" s="52" t="s">
        <v>87</v>
      </c>
      <c r="V115" s="52"/>
      <c r="W115" s="54"/>
      <c r="X115" s="126">
        <f t="shared" si="15"/>
        <v>1</v>
      </c>
      <c r="Y115" s="126">
        <f t="shared" si="16"/>
        <v>1</v>
      </c>
      <c r="Z115" s="126">
        <f t="shared" si="17"/>
        <v>1</v>
      </c>
      <c r="AA115" s="126">
        <f t="shared" si="18"/>
        <v>1</v>
      </c>
      <c r="AB115" s="126">
        <f t="shared" si="22"/>
        <v>1</v>
      </c>
      <c r="AC115" s="126">
        <f t="shared" si="19"/>
        <v>1</v>
      </c>
    </row>
    <row r="116" spans="2:29" s="40" customFormat="1" ht="36" hidden="1" outlineLevel="1">
      <c r="B116" s="73">
        <f t="shared" si="20"/>
        <v>102</v>
      </c>
      <c r="C116" s="52" t="s">
        <v>443</v>
      </c>
      <c r="D116" s="52">
        <v>2</v>
      </c>
      <c r="E116" s="52" t="s">
        <v>413</v>
      </c>
      <c r="F116" s="56" t="s">
        <v>214</v>
      </c>
      <c r="G116" s="215" t="s">
        <v>470</v>
      </c>
      <c r="H116" s="52">
        <v>4</v>
      </c>
      <c r="I116" s="52" t="s">
        <v>91</v>
      </c>
      <c r="J116" s="52" t="s">
        <v>314</v>
      </c>
      <c r="K116" s="52" t="s">
        <v>182</v>
      </c>
      <c r="L116" s="52" t="s">
        <v>331</v>
      </c>
      <c r="M116" s="68"/>
      <c r="N116" s="83"/>
      <c r="O116" s="70" t="str">
        <f t="shared" si="21"/>
        <v/>
      </c>
      <c r="P116" s="52" t="s">
        <v>111</v>
      </c>
      <c r="Q116" s="8" t="s">
        <v>92</v>
      </c>
      <c r="R116" s="52"/>
      <c r="S116" s="52" t="s">
        <v>552</v>
      </c>
      <c r="T116" s="52"/>
      <c r="U116" s="52" t="s">
        <v>87</v>
      </c>
      <c r="V116" s="52"/>
      <c r="W116" s="54"/>
      <c r="X116" s="126">
        <f t="shared" si="15"/>
        <v>1</v>
      </c>
      <c r="Y116" s="126">
        <f t="shared" si="16"/>
        <v>1</v>
      </c>
      <c r="Z116" s="126">
        <f t="shared" si="17"/>
        <v>1</v>
      </c>
      <c r="AA116" s="126">
        <f t="shared" si="18"/>
        <v>1</v>
      </c>
      <c r="AB116" s="126">
        <f t="shared" si="22"/>
        <v>1</v>
      </c>
      <c r="AC116" s="126">
        <f t="shared" si="19"/>
        <v>1</v>
      </c>
    </row>
    <row r="117" spans="2:29" s="40" customFormat="1" ht="72" hidden="1" outlineLevel="1">
      <c r="B117" s="73">
        <f t="shared" si="20"/>
        <v>103</v>
      </c>
      <c r="C117" s="52" t="s">
        <v>443</v>
      </c>
      <c r="D117" s="52">
        <v>2</v>
      </c>
      <c r="E117" s="52" t="s">
        <v>413</v>
      </c>
      <c r="F117" s="56" t="s">
        <v>214</v>
      </c>
      <c r="G117" s="217" t="s">
        <v>459</v>
      </c>
      <c r="H117" s="56">
        <v>2</v>
      </c>
      <c r="I117" s="56" t="s">
        <v>458</v>
      </c>
      <c r="J117" s="52" t="s">
        <v>314</v>
      </c>
      <c r="K117" s="52"/>
      <c r="L117" s="52" t="s">
        <v>331</v>
      </c>
      <c r="M117" s="68"/>
      <c r="N117" s="83"/>
      <c r="O117" s="70" t="str">
        <f t="shared" si="21"/>
        <v/>
      </c>
      <c r="P117" s="52" t="s">
        <v>161</v>
      </c>
      <c r="Q117" s="52" t="s">
        <v>160</v>
      </c>
      <c r="R117" s="52" t="s">
        <v>128</v>
      </c>
      <c r="S117" s="52" t="s">
        <v>552</v>
      </c>
      <c r="T117" s="52"/>
      <c r="U117" s="52" t="s">
        <v>129</v>
      </c>
      <c r="V117" s="52"/>
      <c r="W117" s="54"/>
      <c r="X117" s="126">
        <f t="shared" ref="X117:X168" si="23">IF(($G117="PRO")*AND(N117&lt;&gt;""),$N117, 1)</f>
        <v>1</v>
      </c>
      <c r="Y117" s="126">
        <f t="shared" si="16"/>
        <v>1</v>
      </c>
      <c r="Z117" s="126">
        <f t="shared" si="17"/>
        <v>1</v>
      </c>
      <c r="AA117" s="126">
        <f t="shared" si="18"/>
        <v>1</v>
      </c>
      <c r="AB117" s="126">
        <f t="shared" si="22"/>
        <v>1</v>
      </c>
      <c r="AC117" s="126">
        <f t="shared" si="19"/>
        <v>1</v>
      </c>
    </row>
    <row r="118" spans="2:29" s="40" customFormat="1" ht="72" hidden="1" outlineLevel="1">
      <c r="B118" s="73">
        <f t="shared" si="20"/>
        <v>104</v>
      </c>
      <c r="C118" s="52" t="s">
        <v>443</v>
      </c>
      <c r="D118" s="52">
        <v>2</v>
      </c>
      <c r="E118" s="52" t="s">
        <v>413</v>
      </c>
      <c r="F118" s="56" t="s">
        <v>214</v>
      </c>
      <c r="G118" s="217" t="s">
        <v>459</v>
      </c>
      <c r="H118" s="56">
        <v>8</v>
      </c>
      <c r="I118" s="56" t="s">
        <v>460</v>
      </c>
      <c r="J118" s="52" t="s">
        <v>388</v>
      </c>
      <c r="K118" s="52"/>
      <c r="L118" s="52" t="s">
        <v>331</v>
      </c>
      <c r="M118" s="68"/>
      <c r="N118" s="83"/>
      <c r="O118" s="70" t="str">
        <f t="shared" si="21"/>
        <v/>
      </c>
      <c r="P118" s="52" t="s">
        <v>161</v>
      </c>
      <c r="Q118" s="52" t="s">
        <v>127</v>
      </c>
      <c r="R118" s="52"/>
      <c r="S118" s="52" t="s">
        <v>552</v>
      </c>
      <c r="T118" s="52"/>
      <c r="U118" s="52" t="s">
        <v>106</v>
      </c>
      <c r="V118" s="52"/>
      <c r="W118" s="54"/>
      <c r="X118" s="126">
        <f t="shared" si="23"/>
        <v>1</v>
      </c>
      <c r="Y118" s="126">
        <f t="shared" si="16"/>
        <v>1</v>
      </c>
      <c r="Z118" s="126">
        <f t="shared" si="17"/>
        <v>1</v>
      </c>
      <c r="AA118" s="126">
        <f t="shared" si="18"/>
        <v>1</v>
      </c>
      <c r="AB118" s="126">
        <f t="shared" si="22"/>
        <v>1</v>
      </c>
      <c r="AC118" s="126">
        <f t="shared" si="19"/>
        <v>1</v>
      </c>
    </row>
    <row r="119" spans="2:29" s="40" customFormat="1" ht="36" hidden="1" outlineLevel="1">
      <c r="B119" s="73">
        <f t="shared" si="20"/>
        <v>105</v>
      </c>
      <c r="C119" s="52" t="s">
        <v>443</v>
      </c>
      <c r="D119" s="52">
        <v>2</v>
      </c>
      <c r="E119" s="52" t="s">
        <v>413</v>
      </c>
      <c r="F119" s="52" t="s">
        <v>282</v>
      </c>
      <c r="G119" s="215"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23"/>
        <v>1</v>
      </c>
      <c r="Y119" s="126">
        <f t="shared" si="16"/>
        <v>1</v>
      </c>
      <c r="Z119" s="126">
        <f t="shared" si="17"/>
        <v>1</v>
      </c>
      <c r="AA119" s="126">
        <f t="shared" si="18"/>
        <v>1</v>
      </c>
      <c r="AB119" s="126">
        <f t="shared" si="22"/>
        <v>1</v>
      </c>
      <c r="AC119" s="126">
        <f t="shared" si="19"/>
        <v>1</v>
      </c>
    </row>
    <row r="120" spans="2:29" s="40" customFormat="1" ht="36" hidden="1" outlineLevel="1">
      <c r="B120" s="73">
        <f t="shared" si="20"/>
        <v>106</v>
      </c>
      <c r="C120" s="52" t="s">
        <v>443</v>
      </c>
      <c r="D120" s="52">
        <v>2</v>
      </c>
      <c r="E120" s="52" t="s">
        <v>413</v>
      </c>
      <c r="F120" s="56" t="s">
        <v>214</v>
      </c>
      <c r="G120" s="217" t="s">
        <v>459</v>
      </c>
      <c r="H120" s="56">
        <v>6</v>
      </c>
      <c r="I120" s="56" t="s">
        <v>564</v>
      </c>
      <c r="J120" s="52" t="s">
        <v>388</v>
      </c>
      <c r="K120" s="52"/>
      <c r="L120" s="52" t="s">
        <v>331</v>
      </c>
      <c r="M120" s="68"/>
      <c r="N120" s="83"/>
      <c r="O120" s="70" t="str">
        <f t="shared" si="21"/>
        <v/>
      </c>
      <c r="P120" s="52" t="s">
        <v>159</v>
      </c>
      <c r="Q120" s="52" t="s">
        <v>162</v>
      </c>
      <c r="R120" s="52" t="s">
        <v>128</v>
      </c>
      <c r="S120" s="52" t="s">
        <v>552</v>
      </c>
      <c r="T120" s="52"/>
      <c r="U120" s="52" t="s">
        <v>95</v>
      </c>
      <c r="V120" s="52"/>
      <c r="W120" s="54"/>
      <c r="X120" s="126">
        <f t="shared" si="23"/>
        <v>1</v>
      </c>
      <c r="Y120" s="126">
        <f t="shared" si="16"/>
        <v>1</v>
      </c>
      <c r="Z120" s="126">
        <f t="shared" si="17"/>
        <v>1</v>
      </c>
      <c r="AA120" s="126">
        <f t="shared" si="18"/>
        <v>1</v>
      </c>
      <c r="AB120" s="126">
        <f t="shared" si="22"/>
        <v>1</v>
      </c>
      <c r="AC120" s="126">
        <f t="shared" si="19"/>
        <v>1</v>
      </c>
    </row>
    <row r="121" spans="2:29" s="40" customFormat="1" ht="36" hidden="1" outlineLevel="1">
      <c r="B121" s="73">
        <f t="shared" si="20"/>
        <v>107</v>
      </c>
      <c r="C121" s="52" t="s">
        <v>443</v>
      </c>
      <c r="D121" s="52">
        <v>2</v>
      </c>
      <c r="E121" s="52" t="s">
        <v>413</v>
      </c>
      <c r="F121" s="56" t="s">
        <v>215</v>
      </c>
      <c r="G121" s="218" t="s">
        <v>273</v>
      </c>
      <c r="H121" s="58">
        <v>1</v>
      </c>
      <c r="I121" s="59" t="s">
        <v>279</v>
      </c>
      <c r="J121" s="52" t="s">
        <v>182</v>
      </c>
      <c r="K121" s="52" t="s">
        <v>174</v>
      </c>
      <c r="L121" s="52" t="s">
        <v>331</v>
      </c>
      <c r="M121" s="68"/>
      <c r="N121" s="83"/>
      <c r="O121" s="70" t="str">
        <f t="shared" si="21"/>
        <v/>
      </c>
      <c r="P121" s="52" t="s">
        <v>553</v>
      </c>
      <c r="Q121" s="52" t="s">
        <v>281</v>
      </c>
      <c r="R121" s="52"/>
      <c r="S121" s="52" t="s">
        <v>552</v>
      </c>
      <c r="T121" s="52"/>
      <c r="U121" s="52"/>
      <c r="V121" s="52"/>
      <c r="W121" s="54"/>
      <c r="X121" s="126">
        <f t="shared" si="23"/>
        <v>1</v>
      </c>
      <c r="Y121" s="126">
        <f t="shared" si="16"/>
        <v>1</v>
      </c>
      <c r="Z121" s="126">
        <f t="shared" si="17"/>
        <v>1</v>
      </c>
      <c r="AA121" s="126">
        <f t="shared" si="18"/>
        <v>1</v>
      </c>
      <c r="AB121" s="126">
        <f t="shared" si="22"/>
        <v>1</v>
      </c>
      <c r="AC121" s="126">
        <f t="shared" si="19"/>
        <v>1</v>
      </c>
    </row>
    <row r="122" spans="2:29" s="40" customFormat="1" ht="84" hidden="1" outlineLevel="1">
      <c r="B122" s="73">
        <f t="shared" si="20"/>
        <v>108</v>
      </c>
      <c r="C122" s="52" t="s">
        <v>443</v>
      </c>
      <c r="D122" s="52">
        <v>2</v>
      </c>
      <c r="E122" s="52" t="s">
        <v>413</v>
      </c>
      <c r="F122" s="56" t="s">
        <v>215</v>
      </c>
      <c r="G122" s="215" t="s">
        <v>273</v>
      </c>
      <c r="H122" s="52">
        <v>1</v>
      </c>
      <c r="I122" s="55" t="s">
        <v>274</v>
      </c>
      <c r="J122" s="52" t="s">
        <v>182</v>
      </c>
      <c r="K122" s="52" t="s">
        <v>174</v>
      </c>
      <c r="L122" s="52" t="s">
        <v>331</v>
      </c>
      <c r="M122" s="68"/>
      <c r="N122" s="83"/>
      <c r="O122" s="70" t="str">
        <f t="shared" si="21"/>
        <v/>
      </c>
      <c r="P122" s="52" t="s">
        <v>76</v>
      </c>
      <c r="Q122" s="52" t="s">
        <v>81</v>
      </c>
      <c r="R122" s="52"/>
      <c r="S122" s="52" t="s">
        <v>552</v>
      </c>
      <c r="T122" s="52"/>
      <c r="U122" s="52" t="s">
        <v>75</v>
      </c>
      <c r="V122" s="52"/>
      <c r="W122" s="54"/>
      <c r="X122" s="126">
        <f t="shared" si="23"/>
        <v>1</v>
      </c>
      <c r="Y122" s="126">
        <f t="shared" si="16"/>
        <v>1</v>
      </c>
      <c r="Z122" s="126">
        <f t="shared" si="17"/>
        <v>1</v>
      </c>
      <c r="AA122" s="126">
        <f t="shared" si="18"/>
        <v>1</v>
      </c>
      <c r="AB122" s="126">
        <f t="shared" si="22"/>
        <v>1</v>
      </c>
      <c r="AC122" s="126">
        <f t="shared" si="19"/>
        <v>1</v>
      </c>
    </row>
    <row r="123" spans="2:29" s="40" customFormat="1" ht="36" hidden="1" outlineLevel="1">
      <c r="B123" s="73">
        <f>B122+1</f>
        <v>109</v>
      </c>
      <c r="C123" s="52" t="s">
        <v>443</v>
      </c>
      <c r="D123" s="56">
        <v>2.4</v>
      </c>
      <c r="E123" s="56" t="s">
        <v>178</v>
      </c>
      <c r="F123" s="56"/>
      <c r="G123" s="217" t="s">
        <v>273</v>
      </c>
      <c r="H123" s="56">
        <v>3</v>
      </c>
      <c r="I123" s="57" t="s">
        <v>210</v>
      </c>
      <c r="J123" s="56" t="s">
        <v>182</v>
      </c>
      <c r="K123" s="56" t="s">
        <v>174</v>
      </c>
      <c r="L123" s="52" t="s">
        <v>331</v>
      </c>
      <c r="M123" s="68"/>
      <c r="N123" s="67"/>
      <c r="O123" s="70" t="str">
        <f t="shared" si="21"/>
        <v/>
      </c>
      <c r="P123" s="56" t="s">
        <v>76</v>
      </c>
      <c r="Q123" s="56" t="s">
        <v>82</v>
      </c>
      <c r="R123" s="56"/>
      <c r="S123" s="56"/>
      <c r="T123" s="56"/>
      <c r="U123" s="56" t="s">
        <v>75</v>
      </c>
      <c r="V123" s="52"/>
      <c r="W123" s="54"/>
      <c r="X123" s="126">
        <f t="shared" si="23"/>
        <v>1</v>
      </c>
      <c r="Y123" s="126">
        <f t="shared" si="16"/>
        <v>1</v>
      </c>
      <c r="Z123" s="126">
        <f t="shared" si="17"/>
        <v>1</v>
      </c>
      <c r="AA123" s="126">
        <f t="shared" si="18"/>
        <v>1</v>
      </c>
      <c r="AB123" s="126">
        <f t="shared" si="22"/>
        <v>1</v>
      </c>
      <c r="AC123" s="126">
        <f t="shared" si="19"/>
        <v>1</v>
      </c>
    </row>
    <row r="124" spans="2:29" s="40" customFormat="1" ht="36" hidden="1" outlineLevel="1">
      <c r="B124" s="73">
        <f>B123+1</f>
        <v>110</v>
      </c>
      <c r="C124" s="52" t="s">
        <v>443</v>
      </c>
      <c r="D124" s="52">
        <v>2</v>
      </c>
      <c r="E124" s="52" t="s">
        <v>413</v>
      </c>
      <c r="F124" s="56" t="s">
        <v>215</v>
      </c>
      <c r="G124" s="215" t="s">
        <v>273</v>
      </c>
      <c r="H124" s="52">
        <v>4</v>
      </c>
      <c r="I124" s="55" t="s">
        <v>275</v>
      </c>
      <c r="J124" s="52" t="s">
        <v>182</v>
      </c>
      <c r="K124" s="52" t="s">
        <v>174</v>
      </c>
      <c r="L124" s="52" t="s">
        <v>331</v>
      </c>
      <c r="M124" s="68"/>
      <c r="N124" s="83"/>
      <c r="O124" s="70" t="str">
        <f t="shared" si="21"/>
        <v/>
      </c>
      <c r="P124" s="52" t="s">
        <v>76</v>
      </c>
      <c r="Q124" s="52" t="s">
        <v>77</v>
      </c>
      <c r="R124" s="52"/>
      <c r="S124" s="52" t="s">
        <v>552</v>
      </c>
      <c r="T124" s="52"/>
      <c r="U124" s="52" t="s">
        <v>75</v>
      </c>
      <c r="V124" s="52"/>
      <c r="W124" s="54"/>
      <c r="X124" s="126">
        <f t="shared" si="23"/>
        <v>1</v>
      </c>
      <c r="Y124" s="126">
        <f t="shared" si="16"/>
        <v>1</v>
      </c>
      <c r="Z124" s="126">
        <f t="shared" si="17"/>
        <v>1</v>
      </c>
      <c r="AA124" s="126">
        <f t="shared" si="18"/>
        <v>1</v>
      </c>
      <c r="AB124" s="126">
        <f t="shared" si="22"/>
        <v>1</v>
      </c>
      <c r="AC124" s="126">
        <f t="shared" si="19"/>
        <v>1</v>
      </c>
    </row>
    <row r="125" spans="2:29" s="40" customFormat="1" ht="36" hidden="1" outlineLevel="1">
      <c r="B125" s="73">
        <f t="shared" si="20"/>
        <v>111</v>
      </c>
      <c r="C125" s="52" t="s">
        <v>443</v>
      </c>
      <c r="D125" s="52">
        <v>2</v>
      </c>
      <c r="E125" s="52" t="s">
        <v>413</v>
      </c>
      <c r="F125" s="56" t="s">
        <v>215</v>
      </c>
      <c r="G125" s="215" t="s">
        <v>273</v>
      </c>
      <c r="H125" s="52">
        <v>5</v>
      </c>
      <c r="I125" s="55" t="s">
        <v>276</v>
      </c>
      <c r="J125" s="52" t="s">
        <v>182</v>
      </c>
      <c r="K125" s="52" t="s">
        <v>174</v>
      </c>
      <c r="L125" s="52" t="s">
        <v>331</v>
      </c>
      <c r="M125" s="68"/>
      <c r="N125" s="83"/>
      <c r="O125" s="70" t="str">
        <f t="shared" si="21"/>
        <v/>
      </c>
      <c r="P125" s="52" t="s">
        <v>76</v>
      </c>
      <c r="Q125" s="52" t="s">
        <v>83</v>
      </c>
      <c r="R125" s="52"/>
      <c r="S125" s="52" t="s">
        <v>552</v>
      </c>
      <c r="T125" s="52"/>
      <c r="U125" s="52" t="s">
        <v>75</v>
      </c>
      <c r="V125" s="52"/>
      <c r="W125" s="54"/>
      <c r="X125" s="126">
        <f t="shared" si="23"/>
        <v>1</v>
      </c>
      <c r="Y125" s="126">
        <f t="shared" si="16"/>
        <v>1</v>
      </c>
      <c r="Z125" s="126">
        <f t="shared" si="17"/>
        <v>1</v>
      </c>
      <c r="AA125" s="126">
        <f t="shared" si="18"/>
        <v>1</v>
      </c>
      <c r="AB125" s="126">
        <f t="shared" si="22"/>
        <v>1</v>
      </c>
      <c r="AC125" s="126">
        <f t="shared" si="19"/>
        <v>1</v>
      </c>
    </row>
    <row r="126" spans="2:29" s="40" customFormat="1" ht="36" hidden="1" outlineLevel="1">
      <c r="B126" s="73">
        <f t="shared" si="20"/>
        <v>112</v>
      </c>
      <c r="C126" s="52" t="s">
        <v>443</v>
      </c>
      <c r="D126" s="52">
        <v>2</v>
      </c>
      <c r="E126" s="52" t="s">
        <v>413</v>
      </c>
      <c r="F126" s="56" t="s">
        <v>213</v>
      </c>
      <c r="G126" s="217" t="s">
        <v>459</v>
      </c>
      <c r="H126" s="56">
        <v>1</v>
      </c>
      <c r="I126" s="56" t="s">
        <v>458</v>
      </c>
      <c r="J126" s="52" t="s">
        <v>182</v>
      </c>
      <c r="K126" s="52"/>
      <c r="L126" s="52" t="s">
        <v>331</v>
      </c>
      <c r="M126" s="68"/>
      <c r="N126" s="83"/>
      <c r="O126" s="70" t="str">
        <f t="shared" si="21"/>
        <v/>
      </c>
      <c r="P126" s="52" t="s">
        <v>146</v>
      </c>
      <c r="Q126" s="52" t="s">
        <v>155</v>
      </c>
      <c r="R126" s="52" t="s">
        <v>128</v>
      </c>
      <c r="S126" s="52" t="s">
        <v>163</v>
      </c>
      <c r="T126" s="52"/>
      <c r="U126" s="52" t="s">
        <v>95</v>
      </c>
      <c r="V126" s="52"/>
      <c r="W126" s="54"/>
      <c r="X126" s="126">
        <f t="shared" si="23"/>
        <v>1</v>
      </c>
      <c r="Y126" s="126">
        <f t="shared" si="16"/>
        <v>1</v>
      </c>
      <c r="Z126" s="126">
        <f t="shared" si="17"/>
        <v>1</v>
      </c>
      <c r="AA126" s="126">
        <f t="shared" si="18"/>
        <v>1</v>
      </c>
      <c r="AB126" s="126">
        <f t="shared" si="22"/>
        <v>1</v>
      </c>
      <c r="AC126" s="126">
        <f t="shared" si="19"/>
        <v>1</v>
      </c>
    </row>
    <row r="127" spans="2:29" s="40" customFormat="1" ht="36" hidden="1" outlineLevel="1">
      <c r="B127" s="73">
        <f t="shared" si="20"/>
        <v>113</v>
      </c>
      <c r="C127" s="52" t="s">
        <v>443</v>
      </c>
      <c r="D127" s="52">
        <v>2</v>
      </c>
      <c r="E127" s="52" t="s">
        <v>413</v>
      </c>
      <c r="F127" s="56" t="s">
        <v>490</v>
      </c>
      <c r="G127" s="215" t="s">
        <v>470</v>
      </c>
      <c r="H127" s="52">
        <v>1</v>
      </c>
      <c r="I127" s="52" t="s">
        <v>88</v>
      </c>
      <c r="J127" s="52" t="s">
        <v>314</v>
      </c>
      <c r="K127" s="52"/>
      <c r="L127" s="52" t="s">
        <v>331</v>
      </c>
      <c r="M127" s="68"/>
      <c r="N127" s="83"/>
      <c r="O127" s="70" t="str">
        <f t="shared" si="21"/>
        <v/>
      </c>
      <c r="P127" s="52" t="s">
        <v>147</v>
      </c>
      <c r="Q127" s="8" t="s">
        <v>92</v>
      </c>
      <c r="R127" s="52"/>
      <c r="S127" s="52" t="s">
        <v>163</v>
      </c>
      <c r="T127" s="52"/>
      <c r="U127" s="52" t="s">
        <v>87</v>
      </c>
      <c r="V127" s="52"/>
      <c r="W127" s="54"/>
      <c r="X127" s="126">
        <f t="shared" si="23"/>
        <v>1</v>
      </c>
      <c r="Y127" s="126">
        <f t="shared" si="16"/>
        <v>1</v>
      </c>
      <c r="Z127" s="126">
        <f t="shared" si="17"/>
        <v>1</v>
      </c>
      <c r="AA127" s="126">
        <f t="shared" si="18"/>
        <v>1</v>
      </c>
      <c r="AB127" s="126">
        <f t="shared" si="22"/>
        <v>1</v>
      </c>
      <c r="AC127" s="126">
        <f t="shared" si="19"/>
        <v>1</v>
      </c>
    </row>
    <row r="128" spans="2:29" s="40" customFormat="1" ht="36" hidden="1" outlineLevel="1">
      <c r="B128" s="73">
        <f t="shared" si="20"/>
        <v>114</v>
      </c>
      <c r="C128" s="52" t="s">
        <v>443</v>
      </c>
      <c r="D128" s="52">
        <v>2</v>
      </c>
      <c r="E128" s="52" t="s">
        <v>413</v>
      </c>
      <c r="F128" s="56" t="s">
        <v>490</v>
      </c>
      <c r="G128" s="215" t="s">
        <v>470</v>
      </c>
      <c r="H128" s="52">
        <v>2</v>
      </c>
      <c r="I128" s="52" t="s">
        <v>89</v>
      </c>
      <c r="J128" s="52" t="s">
        <v>314</v>
      </c>
      <c r="K128" s="52" t="s">
        <v>182</v>
      </c>
      <c r="L128" s="52" t="s">
        <v>331</v>
      </c>
      <c r="M128" s="68"/>
      <c r="N128" s="83"/>
      <c r="O128" s="70" t="str">
        <f t="shared" si="21"/>
        <v/>
      </c>
      <c r="P128" s="52" t="s">
        <v>111</v>
      </c>
      <c r="Q128" s="8" t="s">
        <v>94</v>
      </c>
      <c r="R128" s="52"/>
      <c r="S128" s="52" t="s">
        <v>163</v>
      </c>
      <c r="T128" s="52"/>
      <c r="U128" s="52" t="s">
        <v>87</v>
      </c>
      <c r="V128" s="52"/>
      <c r="W128" s="54"/>
      <c r="X128" s="126">
        <f t="shared" si="23"/>
        <v>1</v>
      </c>
      <c r="Y128" s="126">
        <f t="shared" si="16"/>
        <v>1</v>
      </c>
      <c r="Z128" s="126">
        <f t="shared" si="17"/>
        <v>1</v>
      </c>
      <c r="AA128" s="126">
        <f t="shared" si="18"/>
        <v>1</v>
      </c>
      <c r="AB128" s="126">
        <f t="shared" si="22"/>
        <v>1</v>
      </c>
      <c r="AC128" s="126">
        <f t="shared" si="19"/>
        <v>1</v>
      </c>
    </row>
    <row r="129" spans="2:29" s="40" customFormat="1" ht="36" hidden="1" outlineLevel="1">
      <c r="B129" s="73">
        <f t="shared" si="20"/>
        <v>115</v>
      </c>
      <c r="C129" s="52" t="s">
        <v>443</v>
      </c>
      <c r="D129" s="52">
        <v>2</v>
      </c>
      <c r="E129" s="52" t="s">
        <v>413</v>
      </c>
      <c r="F129" s="56" t="s">
        <v>490</v>
      </c>
      <c r="G129" s="215" t="s">
        <v>470</v>
      </c>
      <c r="H129" s="52">
        <v>3</v>
      </c>
      <c r="I129" s="52" t="s">
        <v>90</v>
      </c>
      <c r="J129" s="52" t="s">
        <v>182</v>
      </c>
      <c r="K129" s="52" t="s">
        <v>314</v>
      </c>
      <c r="L129" s="52" t="s">
        <v>331</v>
      </c>
      <c r="M129" s="68"/>
      <c r="N129" s="83"/>
      <c r="O129" s="70" t="str">
        <f t="shared" si="21"/>
        <v/>
      </c>
      <c r="P129" s="52" t="s">
        <v>126</v>
      </c>
      <c r="Q129" s="8" t="s">
        <v>94</v>
      </c>
      <c r="R129" s="52"/>
      <c r="S129" s="52" t="s">
        <v>163</v>
      </c>
      <c r="T129" s="52"/>
      <c r="U129" s="52" t="s">
        <v>87</v>
      </c>
      <c r="V129" s="52"/>
      <c r="W129" s="54"/>
      <c r="X129" s="126">
        <f t="shared" si="23"/>
        <v>1</v>
      </c>
      <c r="Y129" s="126">
        <f t="shared" si="16"/>
        <v>1</v>
      </c>
      <c r="Z129" s="126">
        <f t="shared" si="17"/>
        <v>1</v>
      </c>
      <c r="AA129" s="126">
        <f t="shared" si="18"/>
        <v>1</v>
      </c>
      <c r="AB129" s="126">
        <f t="shared" si="22"/>
        <v>1</v>
      </c>
      <c r="AC129" s="126">
        <f t="shared" si="19"/>
        <v>1</v>
      </c>
    </row>
    <row r="130" spans="2:29" s="40" customFormat="1" ht="36" hidden="1" outlineLevel="1">
      <c r="B130" s="73">
        <f t="shared" si="20"/>
        <v>116</v>
      </c>
      <c r="C130" s="52" t="s">
        <v>443</v>
      </c>
      <c r="D130" s="52">
        <v>2</v>
      </c>
      <c r="E130" s="52" t="s">
        <v>413</v>
      </c>
      <c r="F130" s="56" t="s">
        <v>490</v>
      </c>
      <c r="G130" s="215" t="s">
        <v>470</v>
      </c>
      <c r="H130" s="52">
        <v>4</v>
      </c>
      <c r="I130" s="52" t="s">
        <v>91</v>
      </c>
      <c r="J130" s="52" t="s">
        <v>314</v>
      </c>
      <c r="K130" s="52" t="s">
        <v>182</v>
      </c>
      <c r="L130" s="52" t="s">
        <v>331</v>
      </c>
      <c r="M130" s="68"/>
      <c r="N130" s="83"/>
      <c r="O130" s="70" t="str">
        <f t="shared" si="21"/>
        <v/>
      </c>
      <c r="P130" s="52" t="s">
        <v>111</v>
      </c>
      <c r="Q130" s="8" t="s">
        <v>92</v>
      </c>
      <c r="R130" s="52"/>
      <c r="S130" s="52" t="s">
        <v>163</v>
      </c>
      <c r="T130" s="52"/>
      <c r="U130" s="52" t="s">
        <v>87</v>
      </c>
      <c r="V130" s="52"/>
      <c r="W130" s="54"/>
      <c r="X130" s="126">
        <f t="shared" si="23"/>
        <v>1</v>
      </c>
      <c r="Y130" s="126">
        <f t="shared" si="16"/>
        <v>1</v>
      </c>
      <c r="Z130" s="126">
        <f t="shared" si="17"/>
        <v>1</v>
      </c>
      <c r="AA130" s="126">
        <f t="shared" si="18"/>
        <v>1</v>
      </c>
      <c r="AB130" s="126">
        <f t="shared" si="22"/>
        <v>1</v>
      </c>
      <c r="AC130" s="126">
        <f t="shared" si="19"/>
        <v>1</v>
      </c>
    </row>
    <row r="131" spans="2:29" s="40" customFormat="1" ht="36" hidden="1" outlineLevel="1">
      <c r="B131" s="73">
        <f t="shared" si="20"/>
        <v>117</v>
      </c>
      <c r="C131" s="52" t="s">
        <v>443</v>
      </c>
      <c r="D131" s="52">
        <v>2</v>
      </c>
      <c r="E131" s="52" t="s">
        <v>413</v>
      </c>
      <c r="F131" s="56" t="s">
        <v>490</v>
      </c>
      <c r="G131" s="217" t="s">
        <v>459</v>
      </c>
      <c r="H131" s="56">
        <v>2</v>
      </c>
      <c r="I131" s="56" t="s">
        <v>458</v>
      </c>
      <c r="J131" s="52" t="s">
        <v>314</v>
      </c>
      <c r="K131" s="52"/>
      <c r="L131" s="52" t="s">
        <v>331</v>
      </c>
      <c r="M131" s="68"/>
      <c r="N131" s="83"/>
      <c r="O131" s="70" t="str">
        <f t="shared" si="21"/>
        <v/>
      </c>
      <c r="P131" s="52" t="s">
        <v>146</v>
      </c>
      <c r="Q131" s="52" t="s">
        <v>160</v>
      </c>
      <c r="R131" s="52" t="s">
        <v>128</v>
      </c>
      <c r="S131" s="52" t="s">
        <v>163</v>
      </c>
      <c r="T131" s="52"/>
      <c r="U131" s="52" t="s">
        <v>130</v>
      </c>
      <c r="V131" s="52"/>
      <c r="W131" s="54"/>
      <c r="X131" s="126">
        <f t="shared" si="23"/>
        <v>1</v>
      </c>
      <c r="Y131" s="126">
        <f t="shared" si="16"/>
        <v>1</v>
      </c>
      <c r="Z131" s="126">
        <f t="shared" si="17"/>
        <v>1</v>
      </c>
      <c r="AA131" s="126">
        <f t="shared" si="18"/>
        <v>1</v>
      </c>
      <c r="AB131" s="126">
        <f t="shared" si="22"/>
        <v>1</v>
      </c>
      <c r="AC131" s="126">
        <f t="shared" si="19"/>
        <v>1</v>
      </c>
    </row>
    <row r="132" spans="2:29" s="40" customFormat="1" ht="36" hidden="1" outlineLevel="1">
      <c r="B132" s="73">
        <f t="shared" si="20"/>
        <v>118</v>
      </c>
      <c r="C132" s="52" t="s">
        <v>443</v>
      </c>
      <c r="D132" s="52">
        <v>2</v>
      </c>
      <c r="E132" s="52" t="s">
        <v>413</v>
      </c>
      <c r="F132" s="56" t="s">
        <v>490</v>
      </c>
      <c r="G132" s="217" t="s">
        <v>459</v>
      </c>
      <c r="H132" s="56">
        <v>8</v>
      </c>
      <c r="I132" s="56" t="s">
        <v>529</v>
      </c>
      <c r="J132" s="52" t="s">
        <v>388</v>
      </c>
      <c r="K132" s="52"/>
      <c r="L132" s="52" t="s">
        <v>331</v>
      </c>
      <c r="M132" s="68"/>
      <c r="N132" s="83"/>
      <c r="O132" s="70" t="str">
        <f t="shared" si="21"/>
        <v/>
      </c>
      <c r="P132" s="52" t="s">
        <v>146</v>
      </c>
      <c r="Q132" s="52" t="s">
        <v>127</v>
      </c>
      <c r="R132" s="52"/>
      <c r="S132" s="52" t="s">
        <v>163</v>
      </c>
      <c r="T132" s="52"/>
      <c r="U132" s="52" t="s">
        <v>106</v>
      </c>
      <c r="V132" s="52"/>
      <c r="W132" s="54"/>
      <c r="X132" s="126">
        <f t="shared" si="23"/>
        <v>1</v>
      </c>
      <c r="Y132" s="126">
        <f t="shared" si="16"/>
        <v>1</v>
      </c>
      <c r="Z132" s="126">
        <f t="shared" si="17"/>
        <v>1</v>
      </c>
      <c r="AA132" s="126">
        <f t="shared" si="18"/>
        <v>1</v>
      </c>
      <c r="AB132" s="126">
        <f t="shared" si="22"/>
        <v>1</v>
      </c>
      <c r="AC132" s="126">
        <f t="shared" si="19"/>
        <v>1</v>
      </c>
    </row>
    <row r="133" spans="2:29" s="40" customFormat="1" ht="36" hidden="1" outlineLevel="1">
      <c r="B133" s="73">
        <f t="shared" si="20"/>
        <v>119</v>
      </c>
      <c r="C133" s="52" t="s">
        <v>443</v>
      </c>
      <c r="D133" s="52">
        <v>2</v>
      </c>
      <c r="E133" s="52" t="s">
        <v>413</v>
      </c>
      <c r="F133" s="52" t="s">
        <v>282</v>
      </c>
      <c r="G133" s="215"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23"/>
        <v>1</v>
      </c>
      <c r="Y133" s="126">
        <f t="shared" si="16"/>
        <v>1</v>
      </c>
      <c r="Z133" s="126">
        <f t="shared" si="17"/>
        <v>1</v>
      </c>
      <c r="AA133" s="126">
        <f t="shared" si="18"/>
        <v>1</v>
      </c>
      <c r="AB133" s="126">
        <f t="shared" si="22"/>
        <v>1</v>
      </c>
      <c r="AC133" s="126">
        <f t="shared" si="19"/>
        <v>1</v>
      </c>
    </row>
    <row r="134" spans="2:29" s="40" customFormat="1" ht="36" hidden="1" outlineLevel="1">
      <c r="B134" s="73">
        <f t="shared" si="20"/>
        <v>120</v>
      </c>
      <c r="C134" s="52" t="s">
        <v>443</v>
      </c>
      <c r="D134" s="52">
        <v>2</v>
      </c>
      <c r="E134" s="52" t="s">
        <v>413</v>
      </c>
      <c r="F134" s="56" t="s">
        <v>490</v>
      </c>
      <c r="G134" s="217" t="s">
        <v>459</v>
      </c>
      <c r="H134" s="56">
        <v>5</v>
      </c>
      <c r="I134" s="56" t="s">
        <v>564</v>
      </c>
      <c r="J134" s="52" t="s">
        <v>388</v>
      </c>
      <c r="K134" s="52"/>
      <c r="L134" s="52" t="s">
        <v>331</v>
      </c>
      <c r="M134" s="68"/>
      <c r="N134" s="83"/>
      <c r="O134" s="70" t="str">
        <f t="shared" si="21"/>
        <v/>
      </c>
      <c r="P134" s="52" t="s">
        <v>146</v>
      </c>
      <c r="Q134" s="52" t="s">
        <v>162</v>
      </c>
      <c r="R134" s="52" t="s">
        <v>128</v>
      </c>
      <c r="S134" s="52" t="s">
        <v>163</v>
      </c>
      <c r="T134" s="52"/>
      <c r="U134" s="52" t="s">
        <v>95</v>
      </c>
      <c r="V134" s="52"/>
      <c r="W134" s="54"/>
      <c r="X134" s="126">
        <f t="shared" si="23"/>
        <v>1</v>
      </c>
      <c r="Y134" s="126">
        <f t="shared" si="16"/>
        <v>1</v>
      </c>
      <c r="Z134" s="126">
        <f t="shared" si="17"/>
        <v>1</v>
      </c>
      <c r="AA134" s="126">
        <f t="shared" si="18"/>
        <v>1</v>
      </c>
      <c r="AB134" s="126">
        <f t="shared" si="22"/>
        <v>1</v>
      </c>
      <c r="AC134" s="126">
        <f t="shared" si="19"/>
        <v>1</v>
      </c>
    </row>
    <row r="135" spans="2:29" s="42" customFormat="1" ht="36" hidden="1" outlineLevel="1">
      <c r="B135" s="73">
        <f t="shared" si="20"/>
        <v>121</v>
      </c>
      <c r="C135" s="56" t="s">
        <v>443</v>
      </c>
      <c r="D135" s="56">
        <v>3</v>
      </c>
      <c r="E135" s="56" t="s">
        <v>484</v>
      </c>
      <c r="F135" s="61"/>
      <c r="G135" s="217" t="s">
        <v>27</v>
      </c>
      <c r="H135" s="56">
        <v>1</v>
      </c>
      <c r="I135" s="41" t="s">
        <v>463</v>
      </c>
      <c r="J135" s="56" t="s">
        <v>182</v>
      </c>
      <c r="K135" s="56"/>
      <c r="L135" s="52" t="s">
        <v>331</v>
      </c>
      <c r="M135" s="68"/>
      <c r="N135" s="83"/>
      <c r="O135" s="70" t="str">
        <f t="shared" si="21"/>
        <v/>
      </c>
      <c r="P135" s="56" t="s">
        <v>132</v>
      </c>
      <c r="Q135" s="41" t="s">
        <v>133</v>
      </c>
      <c r="R135" s="56"/>
      <c r="S135" s="56"/>
      <c r="T135" s="56"/>
      <c r="U135" s="56" t="s">
        <v>464</v>
      </c>
      <c r="V135" s="56"/>
      <c r="W135" s="62"/>
      <c r="X135" s="126">
        <f t="shared" si="23"/>
        <v>1</v>
      </c>
      <c r="Y135" s="126">
        <f t="shared" si="16"/>
        <v>1</v>
      </c>
      <c r="Z135" s="126">
        <f t="shared" si="17"/>
        <v>1</v>
      </c>
      <c r="AA135" s="126">
        <f t="shared" si="18"/>
        <v>1</v>
      </c>
      <c r="AB135" s="126">
        <f t="shared" si="22"/>
        <v>1</v>
      </c>
      <c r="AC135" s="126">
        <f t="shared" si="19"/>
        <v>1</v>
      </c>
    </row>
    <row r="136" spans="2:29" s="40" customFormat="1" ht="72" hidden="1" outlineLevel="1">
      <c r="B136" s="73">
        <f t="shared" si="20"/>
        <v>122</v>
      </c>
      <c r="C136" s="52" t="s">
        <v>443</v>
      </c>
      <c r="D136" s="52">
        <v>3</v>
      </c>
      <c r="E136" s="52" t="s">
        <v>484</v>
      </c>
      <c r="F136" s="53"/>
      <c r="G136" s="215" t="s">
        <v>202</v>
      </c>
      <c r="H136" s="52"/>
      <c r="I136" s="52"/>
      <c r="J136" s="52" t="s">
        <v>182</v>
      </c>
      <c r="K136" s="52" t="s">
        <v>174</v>
      </c>
      <c r="L136" s="52" t="s">
        <v>331</v>
      </c>
      <c r="M136" s="68"/>
      <c r="N136" s="83"/>
      <c r="O136" s="70" t="str">
        <f t="shared" si="21"/>
        <v/>
      </c>
      <c r="P136" s="52" t="s">
        <v>261</v>
      </c>
      <c r="Q136" s="52" t="s">
        <v>385</v>
      </c>
      <c r="R136" s="52"/>
      <c r="S136" s="52"/>
      <c r="T136" s="52"/>
      <c r="U136" s="52" t="s">
        <v>79</v>
      </c>
      <c r="V136" s="52"/>
      <c r="W136" s="54"/>
      <c r="X136" s="126">
        <f t="shared" si="23"/>
        <v>1</v>
      </c>
      <c r="Y136" s="126">
        <f t="shared" si="16"/>
        <v>1</v>
      </c>
      <c r="Z136" s="126">
        <f t="shared" si="17"/>
        <v>1</v>
      </c>
      <c r="AA136" s="126">
        <f t="shared" si="18"/>
        <v>1</v>
      </c>
      <c r="AB136" s="126">
        <f t="shared" si="22"/>
        <v>1</v>
      </c>
      <c r="AC136" s="126">
        <f t="shared" si="19"/>
        <v>1</v>
      </c>
    </row>
    <row r="137" spans="2:29" s="40" customFormat="1" ht="48" hidden="1" outlineLevel="1">
      <c r="B137" s="73">
        <f t="shared" si="20"/>
        <v>123</v>
      </c>
      <c r="C137" s="52" t="s">
        <v>443</v>
      </c>
      <c r="D137" s="52">
        <v>4</v>
      </c>
      <c r="E137" s="52" t="s">
        <v>485</v>
      </c>
      <c r="F137" s="53"/>
      <c r="G137" s="215" t="s">
        <v>202</v>
      </c>
      <c r="H137" s="52"/>
      <c r="I137" s="52"/>
      <c r="J137" s="52" t="s">
        <v>182</v>
      </c>
      <c r="K137" s="52" t="s">
        <v>174</v>
      </c>
      <c r="L137" s="52" t="s">
        <v>331</v>
      </c>
      <c r="M137" s="68"/>
      <c r="N137" s="83"/>
      <c r="O137" s="70" t="str">
        <f t="shared" si="21"/>
        <v/>
      </c>
      <c r="P137" s="52" t="s">
        <v>335</v>
      </c>
      <c r="Q137" s="52" t="s">
        <v>336</v>
      </c>
      <c r="R137" s="52"/>
      <c r="S137" s="52"/>
      <c r="T137" s="52"/>
      <c r="U137" s="52" t="s">
        <v>79</v>
      </c>
      <c r="V137" s="52"/>
      <c r="W137" s="54"/>
      <c r="X137" s="126">
        <f t="shared" si="23"/>
        <v>1</v>
      </c>
      <c r="Y137" s="126">
        <f t="shared" si="16"/>
        <v>1</v>
      </c>
      <c r="Z137" s="126">
        <f t="shared" si="17"/>
        <v>1</v>
      </c>
      <c r="AA137" s="126">
        <f t="shared" si="18"/>
        <v>1</v>
      </c>
      <c r="AB137" s="126">
        <f t="shared" si="22"/>
        <v>1</v>
      </c>
      <c r="AC137" s="126">
        <f t="shared" si="19"/>
        <v>1</v>
      </c>
    </row>
    <row r="138" spans="2:29" s="40" customFormat="1" ht="36" hidden="1" outlineLevel="1">
      <c r="B138" s="73">
        <f t="shared" si="20"/>
        <v>124</v>
      </c>
      <c r="C138" s="52" t="s">
        <v>443</v>
      </c>
      <c r="D138" s="52">
        <v>4</v>
      </c>
      <c r="E138" s="52" t="s">
        <v>485</v>
      </c>
      <c r="F138" s="53"/>
      <c r="G138" s="217" t="s">
        <v>27</v>
      </c>
      <c r="H138" s="52">
        <v>2</v>
      </c>
      <c r="I138" s="8" t="s">
        <v>465</v>
      </c>
      <c r="J138" s="52" t="s">
        <v>182</v>
      </c>
      <c r="K138" s="52" t="s">
        <v>174</v>
      </c>
      <c r="L138" s="52" t="s">
        <v>331</v>
      </c>
      <c r="M138" s="68"/>
      <c r="N138" s="83"/>
      <c r="O138" s="70" t="str">
        <f t="shared" si="21"/>
        <v/>
      </c>
      <c r="P138" s="52" t="s">
        <v>134</v>
      </c>
      <c r="Q138" s="8" t="s">
        <v>486</v>
      </c>
      <c r="R138" s="52"/>
      <c r="S138" s="52"/>
      <c r="T138" s="52"/>
      <c r="U138" s="52" t="s">
        <v>464</v>
      </c>
      <c r="V138" s="52"/>
      <c r="W138" s="54"/>
      <c r="X138" s="126">
        <f t="shared" si="23"/>
        <v>1</v>
      </c>
      <c r="Y138" s="126">
        <f t="shared" si="16"/>
        <v>1</v>
      </c>
      <c r="Z138" s="126">
        <f t="shared" si="17"/>
        <v>1</v>
      </c>
      <c r="AA138" s="126">
        <f t="shared" si="18"/>
        <v>1</v>
      </c>
      <c r="AB138" s="126">
        <f t="shared" si="22"/>
        <v>1</v>
      </c>
      <c r="AC138" s="126">
        <f t="shared" si="19"/>
        <v>1</v>
      </c>
    </row>
    <row r="139" spans="2:29" s="103" customFormat="1" ht="60" hidden="1" outlineLevel="1">
      <c r="B139" s="73">
        <f t="shared" si="20"/>
        <v>125</v>
      </c>
      <c r="C139" s="58" t="s">
        <v>443</v>
      </c>
      <c r="D139" s="58">
        <v>4</v>
      </c>
      <c r="E139" s="58" t="s">
        <v>485</v>
      </c>
      <c r="F139" s="58"/>
      <c r="G139" s="218" t="s">
        <v>554</v>
      </c>
      <c r="H139" s="58">
        <v>1</v>
      </c>
      <c r="I139" s="101" t="s">
        <v>164</v>
      </c>
      <c r="J139" s="58" t="s">
        <v>182</v>
      </c>
      <c r="K139" s="58" t="s">
        <v>174</v>
      </c>
      <c r="L139" s="58" t="s">
        <v>331</v>
      </c>
      <c r="M139" s="68"/>
      <c r="N139" s="83"/>
      <c r="O139" s="70" t="str">
        <f t="shared" si="21"/>
        <v/>
      </c>
      <c r="P139" s="101" t="s">
        <v>468</v>
      </c>
      <c r="Q139" s="101" t="s">
        <v>326</v>
      </c>
      <c r="R139" s="58"/>
      <c r="S139" s="58"/>
      <c r="T139" s="58"/>
      <c r="U139" s="58" t="s">
        <v>327</v>
      </c>
      <c r="V139" s="58"/>
      <c r="W139" s="102"/>
      <c r="X139" s="126">
        <f t="shared" si="23"/>
        <v>1</v>
      </c>
      <c r="Y139" s="126">
        <f t="shared" si="16"/>
        <v>1</v>
      </c>
      <c r="Z139" s="126">
        <f t="shared" si="17"/>
        <v>1</v>
      </c>
      <c r="AA139" s="126">
        <f t="shared" si="18"/>
        <v>1</v>
      </c>
      <c r="AB139" s="126">
        <f t="shared" si="22"/>
        <v>1</v>
      </c>
      <c r="AC139" s="126">
        <f t="shared" si="19"/>
        <v>1</v>
      </c>
    </row>
    <row r="140" spans="2:29" s="40" customFormat="1" ht="72" hidden="1" outlineLevel="1">
      <c r="B140" s="73">
        <f t="shared" si="20"/>
        <v>126</v>
      </c>
      <c r="C140" s="52" t="s">
        <v>443</v>
      </c>
      <c r="D140" s="52">
        <v>5</v>
      </c>
      <c r="E140" s="52" t="s">
        <v>487</v>
      </c>
      <c r="F140" s="53"/>
      <c r="G140" s="215" t="s">
        <v>202</v>
      </c>
      <c r="H140" s="52"/>
      <c r="I140" s="52"/>
      <c r="J140" s="52" t="s">
        <v>182</v>
      </c>
      <c r="K140" s="52"/>
      <c r="L140" s="52" t="s">
        <v>331</v>
      </c>
      <c r="M140" s="68"/>
      <c r="N140" s="83"/>
      <c r="O140" s="70" t="str">
        <f t="shared" si="21"/>
        <v/>
      </c>
      <c r="P140" s="52" t="s">
        <v>252</v>
      </c>
      <c r="Q140" s="52" t="s">
        <v>444</v>
      </c>
      <c r="R140" s="52"/>
      <c r="S140" s="52"/>
      <c r="T140" s="52"/>
      <c r="U140" s="52" t="s">
        <v>79</v>
      </c>
      <c r="V140" s="52"/>
      <c r="W140" s="54"/>
      <c r="X140" s="126">
        <f t="shared" si="23"/>
        <v>1</v>
      </c>
      <c r="Y140" s="126">
        <f t="shared" si="16"/>
        <v>1</v>
      </c>
      <c r="Z140" s="126">
        <f t="shared" si="17"/>
        <v>1</v>
      </c>
      <c r="AA140" s="126">
        <f t="shared" si="18"/>
        <v>1</v>
      </c>
      <c r="AB140" s="126">
        <f t="shared" si="22"/>
        <v>1</v>
      </c>
      <c r="AC140" s="126">
        <f t="shared" si="19"/>
        <v>1</v>
      </c>
    </row>
    <row r="141" spans="2:29" s="40" customFormat="1" ht="36" hidden="1" outlineLevel="1">
      <c r="B141" s="73">
        <f t="shared" si="20"/>
        <v>127</v>
      </c>
      <c r="C141" s="52" t="s">
        <v>443</v>
      </c>
      <c r="D141" s="52">
        <v>5</v>
      </c>
      <c r="E141" s="52" t="s">
        <v>487</v>
      </c>
      <c r="F141" s="53"/>
      <c r="G141" s="217" t="s">
        <v>27</v>
      </c>
      <c r="H141" s="52">
        <v>3</v>
      </c>
      <c r="I141" s="8" t="s">
        <v>135</v>
      </c>
      <c r="J141" s="52" t="s">
        <v>462</v>
      </c>
      <c r="K141" s="52" t="s">
        <v>466</v>
      </c>
      <c r="L141" s="52" t="s">
        <v>331</v>
      </c>
      <c r="M141" s="68"/>
      <c r="N141" s="83"/>
      <c r="O141" s="70" t="str">
        <f t="shared" si="21"/>
        <v/>
      </c>
      <c r="P141" s="52" t="s">
        <v>479</v>
      </c>
      <c r="Q141" s="8" t="s">
        <v>136</v>
      </c>
      <c r="R141" s="52"/>
      <c r="S141" s="52"/>
      <c r="T141" s="52"/>
      <c r="U141" s="52" t="s">
        <v>464</v>
      </c>
      <c r="V141" s="52"/>
      <c r="W141" s="54"/>
      <c r="X141" s="126">
        <f t="shared" si="23"/>
        <v>1</v>
      </c>
      <c r="Y141" s="126">
        <f t="shared" ref="Y141:Y168" si="24">IF(($G141="REQM")*AND(N141&lt;&gt;""),$N141, 1)</f>
        <v>1</v>
      </c>
      <c r="Z141" s="126">
        <f t="shared" ref="Z141:Z168" si="25">IF(($G141="ING")*AND(N141&lt;&gt;""),$N141, 1)</f>
        <v>1</v>
      </c>
      <c r="AA141" s="126">
        <f t="shared" ref="AA141:AA168" si="26">IF(($G141="PPQA")*AND(N141&lt;&gt;""),$N141, 1)</f>
        <v>1</v>
      </c>
      <c r="AB141" s="126">
        <f t="shared" si="22"/>
        <v>1</v>
      </c>
      <c r="AC141" s="126">
        <f t="shared" ref="AC141:AC168" si="27">IF(($G141="MA")*AND(N141&lt;&gt;""),$N141, 1)</f>
        <v>1</v>
      </c>
    </row>
    <row r="142" spans="2:29" s="40" customFormat="1" ht="120" hidden="1" outlineLevel="1">
      <c r="B142" s="73">
        <f t="shared" si="20"/>
        <v>128</v>
      </c>
      <c r="C142" s="52" t="s">
        <v>443</v>
      </c>
      <c r="D142" s="52">
        <v>6</v>
      </c>
      <c r="E142" s="52" t="s">
        <v>543</v>
      </c>
      <c r="F142" s="53"/>
      <c r="G142" s="215" t="s">
        <v>202</v>
      </c>
      <c r="H142" s="52"/>
      <c r="I142" s="52"/>
      <c r="J142" s="52" t="s">
        <v>576</v>
      </c>
      <c r="K142" s="52" t="s">
        <v>182</v>
      </c>
      <c r="L142" s="52" t="s">
        <v>331</v>
      </c>
      <c r="M142" s="68"/>
      <c r="N142" s="83"/>
      <c r="O142" s="70" t="str">
        <f t="shared" si="21"/>
        <v/>
      </c>
      <c r="P142" s="52" t="s">
        <v>544</v>
      </c>
      <c r="Q142" s="52" t="s">
        <v>545</v>
      </c>
      <c r="R142" s="52"/>
      <c r="S142" s="52"/>
      <c r="T142" s="52"/>
      <c r="U142" s="52" t="s">
        <v>79</v>
      </c>
      <c r="V142" s="52"/>
      <c r="W142" s="54"/>
      <c r="X142" s="126">
        <f t="shared" si="23"/>
        <v>1</v>
      </c>
      <c r="Y142" s="126">
        <f t="shared" si="24"/>
        <v>1</v>
      </c>
      <c r="Z142" s="126">
        <f t="shared" si="25"/>
        <v>1</v>
      </c>
      <c r="AA142" s="126">
        <f t="shared" si="26"/>
        <v>1</v>
      </c>
      <c r="AB142" s="126">
        <f t="shared" si="22"/>
        <v>1</v>
      </c>
      <c r="AC142" s="126">
        <f t="shared" si="27"/>
        <v>1</v>
      </c>
    </row>
    <row r="143" spans="2:29" s="40" customFormat="1" ht="96" hidden="1" outlineLevel="1">
      <c r="B143" s="73">
        <f t="shared" si="20"/>
        <v>129</v>
      </c>
      <c r="C143" s="52" t="s">
        <v>443</v>
      </c>
      <c r="D143" s="52">
        <v>7</v>
      </c>
      <c r="E143" s="52" t="s">
        <v>546</v>
      </c>
      <c r="F143" s="53"/>
      <c r="G143" s="215" t="s">
        <v>202</v>
      </c>
      <c r="H143" s="52"/>
      <c r="I143" s="52"/>
      <c r="J143" s="52" t="s">
        <v>576</v>
      </c>
      <c r="K143" s="52" t="s">
        <v>182</v>
      </c>
      <c r="L143" s="52" t="s">
        <v>331</v>
      </c>
      <c r="M143" s="68"/>
      <c r="N143" s="83"/>
      <c r="O143" s="70" t="str">
        <f t="shared" si="21"/>
        <v/>
      </c>
      <c r="P143" s="52" t="s">
        <v>547</v>
      </c>
      <c r="Q143" s="52" t="s">
        <v>548</v>
      </c>
      <c r="R143" s="52"/>
      <c r="S143" s="52"/>
      <c r="T143" s="52"/>
      <c r="U143" s="52" t="s">
        <v>79</v>
      </c>
      <c r="V143" s="52"/>
      <c r="W143" s="54"/>
      <c r="X143" s="126">
        <f t="shared" si="23"/>
        <v>1</v>
      </c>
      <c r="Y143" s="126">
        <f t="shared" si="24"/>
        <v>1</v>
      </c>
      <c r="Z143" s="126">
        <f t="shared" si="25"/>
        <v>1</v>
      </c>
      <c r="AA143" s="126">
        <f t="shared" si="26"/>
        <v>1</v>
      </c>
      <c r="AB143" s="126">
        <f t="shared" si="22"/>
        <v>1</v>
      </c>
      <c r="AC143" s="126">
        <f t="shared" si="27"/>
        <v>1</v>
      </c>
    </row>
    <row r="144" spans="2:29" s="40" customFormat="1" ht="48" hidden="1" outlineLevel="1">
      <c r="B144" s="73">
        <f t="shared" si="20"/>
        <v>130</v>
      </c>
      <c r="C144" s="52" t="s">
        <v>443</v>
      </c>
      <c r="D144" s="52">
        <v>6</v>
      </c>
      <c r="E144" s="52" t="s">
        <v>546</v>
      </c>
      <c r="F144" s="53"/>
      <c r="G144" s="217" t="s">
        <v>27</v>
      </c>
      <c r="H144" s="52">
        <v>4</v>
      </c>
      <c r="I144" s="8" t="s">
        <v>137</v>
      </c>
      <c r="J144" s="52" t="s">
        <v>576</v>
      </c>
      <c r="K144" s="52" t="s">
        <v>466</v>
      </c>
      <c r="L144" s="52" t="s">
        <v>331</v>
      </c>
      <c r="M144" s="68"/>
      <c r="N144" s="83"/>
      <c r="O144" s="70" t="str">
        <f t="shared" si="21"/>
        <v/>
      </c>
      <c r="P144" s="52" t="s">
        <v>136</v>
      </c>
      <c r="Q144" s="8" t="s">
        <v>288</v>
      </c>
      <c r="R144" s="52"/>
      <c r="S144" s="52"/>
      <c r="T144" s="52"/>
      <c r="U144" s="52" t="s">
        <v>464</v>
      </c>
      <c r="V144" s="52"/>
      <c r="W144" s="54"/>
      <c r="X144" s="126">
        <f t="shared" si="23"/>
        <v>1</v>
      </c>
      <c r="Y144" s="126">
        <f t="shared" si="24"/>
        <v>1</v>
      </c>
      <c r="Z144" s="126">
        <f t="shared" si="25"/>
        <v>1</v>
      </c>
      <c r="AA144" s="126">
        <f t="shared" si="26"/>
        <v>1</v>
      </c>
      <c r="AB144" s="126">
        <f t="shared" si="22"/>
        <v>1</v>
      </c>
      <c r="AC144" s="126">
        <f t="shared" si="27"/>
        <v>1</v>
      </c>
    </row>
    <row r="145" spans="2:29" s="40" customFormat="1" ht="36" hidden="1" outlineLevel="1">
      <c r="B145" s="73">
        <f t="shared" si="20"/>
        <v>131</v>
      </c>
      <c r="C145" s="52" t="s">
        <v>443</v>
      </c>
      <c r="D145" s="52">
        <v>8</v>
      </c>
      <c r="E145" s="52" t="s">
        <v>488</v>
      </c>
      <c r="F145" s="53"/>
      <c r="G145" s="215" t="s">
        <v>202</v>
      </c>
      <c r="H145" s="52"/>
      <c r="I145" s="52"/>
      <c r="J145" s="52" t="s">
        <v>576</v>
      </c>
      <c r="K145" s="52"/>
      <c r="L145" s="52" t="s">
        <v>331</v>
      </c>
      <c r="M145" s="68"/>
      <c r="N145" s="83"/>
      <c r="O145" s="70" t="str">
        <f t="shared" si="21"/>
        <v/>
      </c>
      <c r="P145" s="52" t="s">
        <v>253</v>
      </c>
      <c r="Q145" s="52" t="s">
        <v>386</v>
      </c>
      <c r="R145" s="52"/>
      <c r="S145" s="52"/>
      <c r="T145" s="52"/>
      <c r="U145" s="52" t="s">
        <v>79</v>
      </c>
      <c r="V145" s="52"/>
      <c r="W145" s="54"/>
      <c r="X145" s="126">
        <f t="shared" si="23"/>
        <v>1</v>
      </c>
      <c r="Y145" s="126">
        <f t="shared" si="24"/>
        <v>1</v>
      </c>
      <c r="Z145" s="126">
        <f t="shared" si="25"/>
        <v>1</v>
      </c>
      <c r="AA145" s="126">
        <f t="shared" si="26"/>
        <v>1</v>
      </c>
      <c r="AB145" s="126">
        <f t="shared" si="22"/>
        <v>1</v>
      </c>
      <c r="AC145" s="126">
        <f t="shared" si="27"/>
        <v>1</v>
      </c>
    </row>
    <row r="146" spans="2:29" s="40" customFormat="1" ht="48" hidden="1" outlineLevel="1">
      <c r="B146" s="73">
        <f t="shared" si="20"/>
        <v>132</v>
      </c>
      <c r="C146" s="52" t="s">
        <v>443</v>
      </c>
      <c r="D146" s="52">
        <v>9</v>
      </c>
      <c r="E146" s="52" t="s">
        <v>489</v>
      </c>
      <c r="F146" s="53"/>
      <c r="G146" s="215" t="s">
        <v>202</v>
      </c>
      <c r="H146" s="52"/>
      <c r="I146" s="52"/>
      <c r="J146" s="52" t="s">
        <v>182</v>
      </c>
      <c r="K146" s="52" t="s">
        <v>575</v>
      </c>
      <c r="L146" s="52" t="s">
        <v>331</v>
      </c>
      <c r="M146" s="68"/>
      <c r="N146" s="83"/>
      <c r="O146" s="70" t="str">
        <f t="shared" si="21"/>
        <v/>
      </c>
      <c r="P146" s="52" t="s">
        <v>254</v>
      </c>
      <c r="Q146" s="52" t="s">
        <v>445</v>
      </c>
      <c r="R146" s="52"/>
      <c r="S146" s="52"/>
      <c r="T146" s="52"/>
      <c r="U146" s="52" t="s">
        <v>79</v>
      </c>
      <c r="V146" s="52"/>
      <c r="W146" s="54"/>
      <c r="X146" s="126">
        <f t="shared" si="23"/>
        <v>1</v>
      </c>
      <c r="Y146" s="126">
        <f t="shared" si="24"/>
        <v>1</v>
      </c>
      <c r="Z146" s="126">
        <f t="shared" si="25"/>
        <v>1</v>
      </c>
      <c r="AA146" s="126">
        <f t="shared" si="26"/>
        <v>1</v>
      </c>
      <c r="AB146" s="126">
        <f t="shared" si="22"/>
        <v>1</v>
      </c>
      <c r="AC146" s="126">
        <f t="shared" si="27"/>
        <v>1</v>
      </c>
    </row>
    <row r="147" spans="2:29" s="40" customFormat="1" ht="84" hidden="1" outlineLevel="1">
      <c r="B147" s="73">
        <f t="shared" ref="B147:B154" si="28">B146+1</f>
        <v>133</v>
      </c>
      <c r="C147" s="52" t="s">
        <v>443</v>
      </c>
      <c r="D147" s="52">
        <v>10</v>
      </c>
      <c r="E147" s="52" t="s">
        <v>255</v>
      </c>
      <c r="F147" s="53"/>
      <c r="G147" s="215" t="s">
        <v>202</v>
      </c>
      <c r="H147" s="52"/>
      <c r="I147" s="52"/>
      <c r="J147" s="52" t="s">
        <v>576</v>
      </c>
      <c r="K147" s="52" t="s">
        <v>257</v>
      </c>
      <c r="L147" s="52" t="s">
        <v>331</v>
      </c>
      <c r="M147" s="68"/>
      <c r="N147" s="83"/>
      <c r="O147" s="70" t="str">
        <f t="shared" si="21"/>
        <v/>
      </c>
      <c r="P147" s="52" t="s">
        <v>480</v>
      </c>
      <c r="Q147" s="52" t="s">
        <v>481</v>
      </c>
      <c r="R147" s="52"/>
      <c r="S147" s="52"/>
      <c r="T147" s="52"/>
      <c r="U147" s="52" t="s">
        <v>79</v>
      </c>
      <c r="V147" s="52"/>
      <c r="W147" s="54"/>
      <c r="X147" s="126">
        <f t="shared" si="23"/>
        <v>1</v>
      </c>
      <c r="Y147" s="126">
        <f t="shared" si="24"/>
        <v>1</v>
      </c>
      <c r="Z147" s="126">
        <f t="shared" si="25"/>
        <v>1</v>
      </c>
      <c r="AA147" s="126">
        <f t="shared" si="26"/>
        <v>1</v>
      </c>
      <c r="AB147" s="126">
        <f t="shared" si="22"/>
        <v>1</v>
      </c>
      <c r="AC147" s="126">
        <f t="shared" si="27"/>
        <v>1</v>
      </c>
    </row>
    <row r="148" spans="2:29" s="40" customFormat="1" ht="96" hidden="1" outlineLevel="1">
      <c r="B148" s="73">
        <f t="shared" si="28"/>
        <v>134</v>
      </c>
      <c r="C148" s="52" t="s">
        <v>443</v>
      </c>
      <c r="D148" s="52">
        <v>11</v>
      </c>
      <c r="E148" s="52" t="s">
        <v>256</v>
      </c>
      <c r="F148" s="53"/>
      <c r="G148" s="215" t="s">
        <v>202</v>
      </c>
      <c r="H148" s="52"/>
      <c r="I148" s="52"/>
      <c r="J148" s="52" t="s">
        <v>576</v>
      </c>
      <c r="K148" s="52" t="s">
        <v>258</v>
      </c>
      <c r="L148" s="52" t="s">
        <v>331</v>
      </c>
      <c r="M148" s="68"/>
      <c r="N148" s="83"/>
      <c r="O148" s="70" t="str">
        <f t="shared" si="21"/>
        <v/>
      </c>
      <c r="P148" s="52" t="s">
        <v>259</v>
      </c>
      <c r="Q148" s="52" t="s">
        <v>482</v>
      </c>
      <c r="R148" s="52"/>
      <c r="S148" s="52"/>
      <c r="T148" s="52"/>
      <c r="U148" s="52" t="s">
        <v>79</v>
      </c>
      <c r="V148" s="52"/>
      <c r="W148" s="54"/>
      <c r="X148" s="126">
        <f t="shared" si="23"/>
        <v>1</v>
      </c>
      <c r="Y148" s="126">
        <f t="shared" si="24"/>
        <v>1</v>
      </c>
      <c r="Z148" s="126">
        <f t="shared" si="25"/>
        <v>1</v>
      </c>
      <c r="AA148" s="126">
        <f t="shared" si="26"/>
        <v>1</v>
      </c>
      <c r="AB148" s="126">
        <f t="shared" si="22"/>
        <v>1</v>
      </c>
      <c r="AC148" s="126">
        <f t="shared" si="27"/>
        <v>1</v>
      </c>
    </row>
    <row r="149" spans="2:29" s="40" customFormat="1" ht="84" hidden="1" outlineLevel="1">
      <c r="B149" s="73">
        <f t="shared" si="28"/>
        <v>135</v>
      </c>
      <c r="C149" s="52" t="s">
        <v>443</v>
      </c>
      <c r="D149" s="52">
        <v>12</v>
      </c>
      <c r="E149" s="52" t="s">
        <v>384</v>
      </c>
      <c r="F149" s="53"/>
      <c r="G149" s="215" t="s">
        <v>202</v>
      </c>
      <c r="H149" s="52"/>
      <c r="I149" s="52"/>
      <c r="J149" s="52" t="s">
        <v>576</v>
      </c>
      <c r="K149" s="52"/>
      <c r="L149" s="52" t="s">
        <v>331</v>
      </c>
      <c r="M149" s="68"/>
      <c r="N149" s="83"/>
      <c r="O149" s="70" t="str">
        <f t="shared" si="21"/>
        <v/>
      </c>
      <c r="P149" s="52" t="s">
        <v>483</v>
      </c>
      <c r="Q149" s="52" t="s">
        <v>445</v>
      </c>
      <c r="R149" s="52"/>
      <c r="S149" s="52"/>
      <c r="T149" s="52"/>
      <c r="U149" s="52" t="s">
        <v>79</v>
      </c>
      <c r="V149" s="52"/>
      <c r="W149" s="54"/>
      <c r="X149" s="126">
        <f t="shared" si="23"/>
        <v>1</v>
      </c>
      <c r="Y149" s="126">
        <f t="shared" si="24"/>
        <v>1</v>
      </c>
      <c r="Z149" s="126">
        <f t="shared" si="25"/>
        <v>1</v>
      </c>
      <c r="AA149" s="126">
        <f t="shared" si="26"/>
        <v>1</v>
      </c>
      <c r="AB149" s="126">
        <f t="shared" si="22"/>
        <v>1</v>
      </c>
      <c r="AC149" s="126">
        <f t="shared" si="27"/>
        <v>1</v>
      </c>
    </row>
    <row r="150" spans="2:29" s="40" customFormat="1" ht="48" hidden="1" outlineLevel="1">
      <c r="B150" s="73">
        <f t="shared" si="28"/>
        <v>136</v>
      </c>
      <c r="C150" s="52" t="s">
        <v>443</v>
      </c>
      <c r="D150" s="52">
        <v>13</v>
      </c>
      <c r="E150" s="52" t="s">
        <v>442</v>
      </c>
      <c r="F150" s="53"/>
      <c r="G150" s="215" t="s">
        <v>202</v>
      </c>
      <c r="H150" s="52"/>
      <c r="I150" s="52"/>
      <c r="J150" s="52" t="s">
        <v>182</v>
      </c>
      <c r="K150" s="52"/>
      <c r="L150" s="52" t="s">
        <v>331</v>
      </c>
      <c r="M150" s="68"/>
      <c r="N150" s="83"/>
      <c r="O150" s="70" t="str">
        <f t="shared" si="21"/>
        <v/>
      </c>
      <c r="P150" s="52" t="s">
        <v>260</v>
      </c>
      <c r="Q150" s="52" t="s">
        <v>446</v>
      </c>
      <c r="R150" s="52"/>
      <c r="S150" s="52"/>
      <c r="T150" s="52"/>
      <c r="U150" s="52" t="s">
        <v>79</v>
      </c>
      <c r="V150" s="52"/>
      <c r="W150" s="54"/>
      <c r="X150" s="126">
        <f t="shared" si="23"/>
        <v>1</v>
      </c>
      <c r="Y150" s="126">
        <f t="shared" si="24"/>
        <v>1</v>
      </c>
      <c r="Z150" s="126">
        <f t="shared" si="25"/>
        <v>1</v>
      </c>
      <c r="AA150" s="126">
        <f t="shared" si="26"/>
        <v>1</v>
      </c>
      <c r="AB150" s="126">
        <f t="shared" si="22"/>
        <v>1</v>
      </c>
      <c r="AC150" s="126">
        <f t="shared" si="27"/>
        <v>1</v>
      </c>
    </row>
    <row r="151" spans="2:29" s="40" customFormat="1" ht="36" hidden="1" outlineLevel="1">
      <c r="B151" s="73">
        <f t="shared" si="28"/>
        <v>137</v>
      </c>
      <c r="C151" s="52" t="s">
        <v>443</v>
      </c>
      <c r="D151" s="52">
        <v>10</v>
      </c>
      <c r="E151" s="52" t="s">
        <v>442</v>
      </c>
      <c r="F151" s="53"/>
      <c r="G151" s="215" t="s">
        <v>453</v>
      </c>
      <c r="H151" s="52">
        <v>9.1</v>
      </c>
      <c r="I151" s="52" t="s">
        <v>272</v>
      </c>
      <c r="J151" s="52" t="s">
        <v>201</v>
      </c>
      <c r="K151" s="52" t="s">
        <v>182</v>
      </c>
      <c r="L151" s="52" t="s">
        <v>331</v>
      </c>
      <c r="M151" s="68"/>
      <c r="N151" s="83"/>
      <c r="O151" s="70" t="str">
        <f t="shared" si="21"/>
        <v/>
      </c>
      <c r="P151" s="43" t="s">
        <v>166</v>
      </c>
      <c r="Q151" s="52" t="s">
        <v>138</v>
      </c>
      <c r="R151" s="52" t="s">
        <v>263</v>
      </c>
      <c r="S151" s="52"/>
      <c r="T151" s="52"/>
      <c r="U151" s="52" t="s">
        <v>108</v>
      </c>
      <c r="V151" s="52"/>
      <c r="W151" s="54"/>
      <c r="X151" s="126">
        <f t="shared" si="23"/>
        <v>1</v>
      </c>
      <c r="Y151" s="126">
        <f t="shared" si="24"/>
        <v>1</v>
      </c>
      <c r="Z151" s="126">
        <f t="shared" si="25"/>
        <v>1</v>
      </c>
      <c r="AA151" s="126">
        <f t="shared" si="26"/>
        <v>1</v>
      </c>
      <c r="AB151" s="126">
        <f t="shared" si="22"/>
        <v>1</v>
      </c>
      <c r="AC151" s="126">
        <f t="shared" si="27"/>
        <v>1</v>
      </c>
    </row>
    <row r="152" spans="2:29" s="40" customFormat="1" ht="48" hidden="1" outlineLevel="1">
      <c r="B152" s="73">
        <f t="shared" si="28"/>
        <v>138</v>
      </c>
      <c r="C152" s="52" t="s">
        <v>443</v>
      </c>
      <c r="D152" s="52">
        <v>10</v>
      </c>
      <c r="E152" s="52" t="s">
        <v>442</v>
      </c>
      <c r="F152" s="53"/>
      <c r="G152" s="215" t="s">
        <v>453</v>
      </c>
      <c r="H152" s="52">
        <v>9.1999999999999993</v>
      </c>
      <c r="I152" s="52" t="s">
        <v>264</v>
      </c>
      <c r="J152" s="52" t="s">
        <v>182</v>
      </c>
      <c r="K152" s="52" t="s">
        <v>201</v>
      </c>
      <c r="L152" s="52" t="s">
        <v>331</v>
      </c>
      <c r="M152" s="68"/>
      <c r="N152" s="83"/>
      <c r="O152" s="70" t="str">
        <f t="shared" si="21"/>
        <v/>
      </c>
      <c r="P152" s="52" t="s">
        <v>139</v>
      </c>
      <c r="Q152" s="52" t="s">
        <v>141</v>
      </c>
      <c r="R152" s="52" t="s">
        <v>263</v>
      </c>
      <c r="S152" s="52"/>
      <c r="T152" s="52"/>
      <c r="U152" s="52" t="s">
        <v>108</v>
      </c>
      <c r="V152" s="52"/>
      <c r="W152" s="54"/>
      <c r="X152" s="126">
        <f t="shared" si="23"/>
        <v>1</v>
      </c>
      <c r="Y152" s="126">
        <f t="shared" si="24"/>
        <v>1</v>
      </c>
      <c r="Z152" s="126">
        <f t="shared" si="25"/>
        <v>1</v>
      </c>
      <c r="AA152" s="126">
        <f t="shared" si="26"/>
        <v>1</v>
      </c>
      <c r="AB152" s="126">
        <f t="shared" si="22"/>
        <v>1</v>
      </c>
      <c r="AC152" s="126">
        <f t="shared" si="27"/>
        <v>1</v>
      </c>
    </row>
    <row r="153" spans="2:29" s="40" customFormat="1" ht="60" hidden="1" outlineLevel="1">
      <c r="B153" s="73">
        <f t="shared" si="28"/>
        <v>139</v>
      </c>
      <c r="C153" s="52" t="s">
        <v>443</v>
      </c>
      <c r="D153" s="52">
        <v>10</v>
      </c>
      <c r="E153" s="52" t="s">
        <v>442</v>
      </c>
      <c r="F153" s="53"/>
      <c r="G153" s="215" t="s">
        <v>453</v>
      </c>
      <c r="H153" s="52">
        <v>9.4</v>
      </c>
      <c r="I153" s="52" t="s">
        <v>265</v>
      </c>
      <c r="J153" s="52" t="s">
        <v>182</v>
      </c>
      <c r="K153" s="52" t="s">
        <v>201</v>
      </c>
      <c r="L153" s="52" t="s">
        <v>331</v>
      </c>
      <c r="M153" s="68"/>
      <c r="N153" s="83"/>
      <c r="O153" s="70" t="str">
        <f t="shared" si="21"/>
        <v/>
      </c>
      <c r="P153" s="52" t="s">
        <v>140</v>
      </c>
      <c r="Q153" s="52" t="s">
        <v>142</v>
      </c>
      <c r="R153" s="52" t="s">
        <v>263</v>
      </c>
      <c r="S153" s="52"/>
      <c r="T153" s="52"/>
      <c r="U153" s="52" t="s">
        <v>108</v>
      </c>
      <c r="V153" s="52"/>
      <c r="W153" s="54"/>
      <c r="X153" s="126">
        <f t="shared" si="23"/>
        <v>1</v>
      </c>
      <c r="Y153" s="126">
        <f t="shared" si="24"/>
        <v>1</v>
      </c>
      <c r="Z153" s="126">
        <f t="shared" si="25"/>
        <v>1</v>
      </c>
      <c r="AA153" s="126">
        <f t="shared" si="26"/>
        <v>1</v>
      </c>
      <c r="AB153" s="126">
        <f t="shared" si="22"/>
        <v>1</v>
      </c>
      <c r="AC153" s="126">
        <f t="shared" si="27"/>
        <v>1</v>
      </c>
    </row>
    <row r="154" spans="2:29" s="40" customFormat="1" ht="36" hidden="1" outlineLevel="1">
      <c r="B154" s="73">
        <f t="shared" si="28"/>
        <v>140</v>
      </c>
      <c r="C154" s="60" t="s">
        <v>443</v>
      </c>
      <c r="D154" s="60">
        <v>10</v>
      </c>
      <c r="E154" s="60" t="s">
        <v>442</v>
      </c>
      <c r="F154" s="84"/>
      <c r="G154" s="215" t="s">
        <v>453</v>
      </c>
      <c r="H154" s="60">
        <v>9.6</v>
      </c>
      <c r="I154" s="60" t="s">
        <v>266</v>
      </c>
      <c r="J154" s="60" t="s">
        <v>182</v>
      </c>
      <c r="K154" s="60" t="s">
        <v>201</v>
      </c>
      <c r="L154" s="60" t="s">
        <v>331</v>
      </c>
      <c r="M154" s="80"/>
      <c r="N154" s="106"/>
      <c r="O154" s="82" t="str">
        <f t="shared" si="21"/>
        <v/>
      </c>
      <c r="P154" s="60" t="s">
        <v>139</v>
      </c>
      <c r="Q154" s="60" t="s">
        <v>323</v>
      </c>
      <c r="R154" s="60" t="s">
        <v>263</v>
      </c>
      <c r="S154" s="60"/>
      <c r="T154" s="60"/>
      <c r="U154" s="60" t="s">
        <v>108</v>
      </c>
      <c r="V154" s="60"/>
      <c r="W154" s="54"/>
      <c r="X154" s="126">
        <f t="shared" si="23"/>
        <v>1</v>
      </c>
      <c r="Y154" s="126">
        <f t="shared" si="24"/>
        <v>1</v>
      </c>
      <c r="Z154" s="126">
        <f t="shared" si="25"/>
        <v>1</v>
      </c>
      <c r="AA154" s="126">
        <f t="shared" si="26"/>
        <v>1</v>
      </c>
      <c r="AB154" s="126">
        <f t="shared" si="22"/>
        <v>1</v>
      </c>
      <c r="AC154" s="126">
        <f t="shared" si="27"/>
        <v>1</v>
      </c>
    </row>
    <row r="155" spans="2:29" s="40" customFormat="1" ht="13.5" hidden="1" customHeight="1" thickBot="1">
      <c r="B155" s="109" t="s">
        <v>387</v>
      </c>
      <c r="C155" s="93"/>
      <c r="D155" s="93"/>
      <c r="E155" s="93"/>
      <c r="F155" s="93"/>
      <c r="G155" s="214"/>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hidden="1" outlineLevel="1">
      <c r="B156" s="73">
        <f>B154+1</f>
        <v>141</v>
      </c>
      <c r="C156" s="73" t="s">
        <v>387</v>
      </c>
      <c r="D156" s="73">
        <v>1</v>
      </c>
      <c r="E156" s="73" t="s">
        <v>447</v>
      </c>
      <c r="F156" s="74"/>
      <c r="G156" s="215" t="s">
        <v>202</v>
      </c>
      <c r="H156" s="73"/>
      <c r="I156" s="73"/>
      <c r="J156" s="73" t="s">
        <v>182</v>
      </c>
      <c r="K156" s="73" t="s">
        <v>576</v>
      </c>
      <c r="L156" s="73" t="s">
        <v>331</v>
      </c>
      <c r="M156" s="76"/>
      <c r="N156" s="83"/>
      <c r="O156" s="69" t="str">
        <f t="shared" si="21"/>
        <v/>
      </c>
      <c r="P156" s="73" t="s">
        <v>337</v>
      </c>
      <c r="Q156" s="73" t="s">
        <v>450</v>
      </c>
      <c r="R156" s="73"/>
      <c r="S156" s="73"/>
      <c r="T156" s="73"/>
      <c r="U156" s="73" t="s">
        <v>79</v>
      </c>
      <c r="V156" s="73"/>
      <c r="W156" s="54"/>
      <c r="X156" s="126">
        <f t="shared" si="23"/>
        <v>1</v>
      </c>
      <c r="Y156" s="126">
        <f t="shared" si="24"/>
        <v>1</v>
      </c>
      <c r="Z156" s="126">
        <f t="shared" si="25"/>
        <v>1</v>
      </c>
      <c r="AA156" s="126">
        <f t="shared" si="26"/>
        <v>1</v>
      </c>
      <c r="AB156" s="126">
        <f t="shared" si="22"/>
        <v>1</v>
      </c>
      <c r="AC156" s="126">
        <f t="shared" si="27"/>
        <v>1</v>
      </c>
    </row>
    <row r="157" spans="2:29" s="40" customFormat="1" ht="72" hidden="1" outlineLevel="1">
      <c r="B157" s="73">
        <f>B156+1</f>
        <v>142</v>
      </c>
      <c r="C157" s="52" t="s">
        <v>387</v>
      </c>
      <c r="D157" s="52">
        <v>2</v>
      </c>
      <c r="E157" s="52" t="s">
        <v>448</v>
      </c>
      <c r="F157" s="53"/>
      <c r="G157" s="215" t="s">
        <v>202</v>
      </c>
      <c r="H157" s="52"/>
      <c r="I157" s="52"/>
      <c r="J157" s="52" t="s">
        <v>182</v>
      </c>
      <c r="K157" s="52" t="s">
        <v>174</v>
      </c>
      <c r="L157" s="52" t="s">
        <v>331</v>
      </c>
      <c r="M157" s="68"/>
      <c r="N157" s="83"/>
      <c r="O157" s="70" t="str">
        <f t="shared" si="21"/>
        <v/>
      </c>
      <c r="P157" s="52" t="s">
        <v>337</v>
      </c>
      <c r="Q157" s="52" t="s">
        <v>451</v>
      </c>
      <c r="R157" s="52"/>
      <c r="S157" s="52"/>
      <c r="T157" s="52"/>
      <c r="U157" s="52" t="s">
        <v>79</v>
      </c>
      <c r="V157" s="52"/>
      <c r="W157" s="54"/>
      <c r="X157" s="126">
        <f t="shared" si="23"/>
        <v>1</v>
      </c>
      <c r="Y157" s="126">
        <f t="shared" si="24"/>
        <v>1</v>
      </c>
      <c r="Z157" s="126">
        <f t="shared" si="25"/>
        <v>1</v>
      </c>
      <c r="AA157" s="126">
        <f t="shared" si="26"/>
        <v>1</v>
      </c>
      <c r="AB157" s="126">
        <f t="shared" si="22"/>
        <v>1</v>
      </c>
      <c r="AC157" s="126">
        <f t="shared" si="27"/>
        <v>1</v>
      </c>
    </row>
    <row r="158" spans="2:29" s="40" customFormat="1" ht="34.5" hidden="1" outlineLevel="1">
      <c r="B158" s="73">
        <f t="shared" ref="B158:B168" si="29">B157+1</f>
        <v>143</v>
      </c>
      <c r="C158" s="52" t="s">
        <v>387</v>
      </c>
      <c r="D158" s="52">
        <v>2</v>
      </c>
      <c r="E158" s="52" t="s">
        <v>448</v>
      </c>
      <c r="F158" s="53"/>
      <c r="G158" s="215" t="s">
        <v>283</v>
      </c>
      <c r="H158" s="52">
        <v>1</v>
      </c>
      <c r="I158" s="55" t="s">
        <v>279</v>
      </c>
      <c r="J158" s="52" t="s">
        <v>182</v>
      </c>
      <c r="K158" s="52" t="s">
        <v>174</v>
      </c>
      <c r="L158" s="52" t="s">
        <v>331</v>
      </c>
      <c r="M158" s="68"/>
      <c r="N158" s="83"/>
      <c r="O158" s="70" t="str">
        <f t="shared" si="21"/>
        <v/>
      </c>
      <c r="P158" s="52" t="s">
        <v>555</v>
      </c>
      <c r="Q158" s="52" t="s">
        <v>281</v>
      </c>
      <c r="R158" s="52"/>
      <c r="S158" s="52"/>
      <c r="T158" s="52"/>
      <c r="U158" s="52" t="s">
        <v>75</v>
      </c>
      <c r="V158" s="52"/>
      <c r="W158" s="54"/>
      <c r="X158" s="126">
        <f t="shared" si="23"/>
        <v>1</v>
      </c>
      <c r="Y158" s="126">
        <f t="shared" si="24"/>
        <v>1</v>
      </c>
      <c r="Z158" s="126">
        <f t="shared" si="25"/>
        <v>1</v>
      </c>
      <c r="AA158" s="126">
        <f t="shared" si="26"/>
        <v>1</v>
      </c>
      <c r="AB158" s="126">
        <f t="shared" si="22"/>
        <v>1</v>
      </c>
      <c r="AC158" s="126">
        <f t="shared" si="27"/>
        <v>1</v>
      </c>
    </row>
    <row r="159" spans="2:29" s="40" customFormat="1" ht="36" hidden="1" outlineLevel="1">
      <c r="B159" s="73">
        <f t="shared" si="29"/>
        <v>144</v>
      </c>
      <c r="C159" s="52" t="s">
        <v>387</v>
      </c>
      <c r="D159" s="52">
        <v>3</v>
      </c>
      <c r="E159" s="52" t="s">
        <v>448</v>
      </c>
      <c r="F159" s="56" t="s">
        <v>213</v>
      </c>
      <c r="G159" s="215" t="s">
        <v>28</v>
      </c>
      <c r="H159" s="56">
        <v>1</v>
      </c>
      <c r="I159" s="56" t="s">
        <v>458</v>
      </c>
      <c r="J159" s="52" t="s">
        <v>182</v>
      </c>
      <c r="K159" s="52"/>
      <c r="L159" s="52" t="s">
        <v>331</v>
      </c>
      <c r="M159" s="68"/>
      <c r="N159" s="83"/>
      <c r="O159" s="70" t="str">
        <f t="shared" si="21"/>
        <v/>
      </c>
      <c r="P159" s="52" t="s">
        <v>148</v>
      </c>
      <c r="Q159" s="52" t="s">
        <v>155</v>
      </c>
      <c r="R159" s="52" t="s">
        <v>128</v>
      </c>
      <c r="S159" s="52"/>
      <c r="T159" s="52"/>
      <c r="U159" s="52" t="s">
        <v>95</v>
      </c>
      <c r="V159" s="52"/>
      <c r="W159" s="54"/>
      <c r="X159" s="126">
        <f t="shared" si="23"/>
        <v>1</v>
      </c>
      <c r="Y159" s="126">
        <f t="shared" si="24"/>
        <v>1</v>
      </c>
      <c r="Z159" s="126">
        <f t="shared" si="25"/>
        <v>1</v>
      </c>
      <c r="AA159" s="126">
        <f t="shared" si="26"/>
        <v>1</v>
      </c>
      <c r="AB159" s="126">
        <f t="shared" si="22"/>
        <v>1</v>
      </c>
      <c r="AC159" s="126">
        <f t="shared" si="27"/>
        <v>1</v>
      </c>
    </row>
    <row r="160" spans="2:29" s="40" customFormat="1" ht="34.5" hidden="1" outlineLevel="1">
      <c r="B160" s="73">
        <f t="shared" si="29"/>
        <v>145</v>
      </c>
      <c r="C160" s="52" t="s">
        <v>387</v>
      </c>
      <c r="D160" s="52">
        <v>2</v>
      </c>
      <c r="E160" s="52" t="s">
        <v>448</v>
      </c>
      <c r="F160" s="56"/>
      <c r="G160" s="215" t="s">
        <v>584</v>
      </c>
      <c r="H160" s="52">
        <v>1</v>
      </c>
      <c r="I160" s="52" t="s">
        <v>88</v>
      </c>
      <c r="J160" s="52" t="s">
        <v>314</v>
      </c>
      <c r="K160" s="52"/>
      <c r="L160" s="52" t="s">
        <v>331</v>
      </c>
      <c r="M160" s="68"/>
      <c r="N160" s="83"/>
      <c r="O160" s="70" t="str">
        <f t="shared" si="21"/>
        <v/>
      </c>
      <c r="P160" s="52" t="s">
        <v>104</v>
      </c>
      <c r="Q160" s="8" t="s">
        <v>143</v>
      </c>
      <c r="R160" s="52"/>
      <c r="S160" s="52"/>
      <c r="T160" s="52"/>
      <c r="U160" s="52" t="s">
        <v>87</v>
      </c>
      <c r="V160" s="52"/>
      <c r="W160" s="54"/>
      <c r="X160" s="126">
        <f t="shared" si="23"/>
        <v>1</v>
      </c>
      <c r="Y160" s="126">
        <f t="shared" si="24"/>
        <v>1</v>
      </c>
      <c r="Z160" s="126">
        <f t="shared" si="25"/>
        <v>1</v>
      </c>
      <c r="AA160" s="126">
        <f t="shared" si="26"/>
        <v>1</v>
      </c>
      <c r="AB160" s="126">
        <f t="shared" si="22"/>
        <v>1</v>
      </c>
      <c r="AC160" s="126">
        <f t="shared" si="27"/>
        <v>1</v>
      </c>
    </row>
    <row r="161" spans="2:29" s="40" customFormat="1" ht="34.5" hidden="1" outlineLevel="1">
      <c r="B161" s="73">
        <f t="shared" si="29"/>
        <v>146</v>
      </c>
      <c r="C161" s="52" t="s">
        <v>387</v>
      </c>
      <c r="D161" s="52">
        <v>2</v>
      </c>
      <c r="E161" s="52" t="s">
        <v>448</v>
      </c>
      <c r="F161" s="56"/>
      <c r="G161" s="215" t="s">
        <v>584</v>
      </c>
      <c r="H161" s="52">
        <v>2</v>
      </c>
      <c r="I161" s="52" t="s">
        <v>89</v>
      </c>
      <c r="J161" s="52" t="s">
        <v>314</v>
      </c>
      <c r="K161" s="52" t="s">
        <v>182</v>
      </c>
      <c r="L161" s="52" t="s">
        <v>331</v>
      </c>
      <c r="M161" s="68"/>
      <c r="N161" s="83"/>
      <c r="O161" s="70" t="str">
        <f t="shared" si="21"/>
        <v/>
      </c>
      <c r="P161" s="52" t="s">
        <v>143</v>
      </c>
      <c r="Q161" s="8" t="s">
        <v>144</v>
      </c>
      <c r="R161" s="52"/>
      <c r="S161" s="52"/>
      <c r="T161" s="52"/>
      <c r="U161" s="52" t="s">
        <v>87</v>
      </c>
      <c r="V161" s="52"/>
      <c r="W161" s="54"/>
      <c r="X161" s="126">
        <f t="shared" si="23"/>
        <v>1</v>
      </c>
      <c r="Y161" s="126">
        <f t="shared" si="24"/>
        <v>1</v>
      </c>
      <c r="Z161" s="126">
        <f t="shared" si="25"/>
        <v>1</v>
      </c>
      <c r="AA161" s="126">
        <f t="shared" si="26"/>
        <v>1</v>
      </c>
      <c r="AB161" s="126">
        <f t="shared" si="22"/>
        <v>1</v>
      </c>
      <c r="AC161" s="126">
        <f t="shared" si="27"/>
        <v>1</v>
      </c>
    </row>
    <row r="162" spans="2:29" s="40" customFormat="1" ht="48" hidden="1" outlineLevel="1">
      <c r="B162" s="73">
        <f t="shared" si="29"/>
        <v>147</v>
      </c>
      <c r="C162" s="52" t="s">
        <v>387</v>
      </c>
      <c r="D162" s="52">
        <v>2</v>
      </c>
      <c r="E162" s="52" t="s">
        <v>448</v>
      </c>
      <c r="F162" s="56"/>
      <c r="G162" s="215" t="s">
        <v>584</v>
      </c>
      <c r="H162" s="52">
        <v>3</v>
      </c>
      <c r="I162" s="52" t="s">
        <v>90</v>
      </c>
      <c r="J162" s="52" t="s">
        <v>182</v>
      </c>
      <c r="K162" s="52" t="s">
        <v>314</v>
      </c>
      <c r="L162" s="52" t="s">
        <v>331</v>
      </c>
      <c r="M162" s="68"/>
      <c r="N162" s="83"/>
      <c r="O162" s="70" t="str">
        <f t="shared" si="21"/>
        <v/>
      </c>
      <c r="P162" s="52" t="s">
        <v>144</v>
      </c>
      <c r="Q162" s="8" t="s">
        <v>144</v>
      </c>
      <c r="R162" s="52"/>
      <c r="S162" s="52"/>
      <c r="T162" s="52"/>
      <c r="U162" s="52" t="s">
        <v>87</v>
      </c>
      <c r="V162" s="52"/>
      <c r="W162" s="54"/>
      <c r="X162" s="126">
        <f t="shared" si="23"/>
        <v>1</v>
      </c>
      <c r="Y162" s="126">
        <f t="shared" si="24"/>
        <v>1</v>
      </c>
      <c r="Z162" s="126">
        <f t="shared" si="25"/>
        <v>1</v>
      </c>
      <c r="AA162" s="126">
        <f t="shared" si="26"/>
        <v>1</v>
      </c>
      <c r="AB162" s="126">
        <f t="shared" si="22"/>
        <v>1</v>
      </c>
      <c r="AC162" s="126">
        <f t="shared" si="27"/>
        <v>1</v>
      </c>
    </row>
    <row r="163" spans="2:29" s="40" customFormat="1" ht="36" hidden="1" outlineLevel="1">
      <c r="B163" s="73">
        <f t="shared" si="29"/>
        <v>148</v>
      </c>
      <c r="C163" s="52" t="s">
        <v>387</v>
      </c>
      <c r="D163" s="52">
        <v>2</v>
      </c>
      <c r="E163" s="52" t="s">
        <v>448</v>
      </c>
      <c r="F163" s="56"/>
      <c r="G163" s="215" t="s">
        <v>584</v>
      </c>
      <c r="H163" s="52">
        <v>4</v>
      </c>
      <c r="I163" s="52" t="s">
        <v>91</v>
      </c>
      <c r="J163" s="52" t="s">
        <v>314</v>
      </c>
      <c r="K163" s="52" t="s">
        <v>182</v>
      </c>
      <c r="L163" s="52" t="s">
        <v>331</v>
      </c>
      <c r="M163" s="68"/>
      <c r="N163" s="83"/>
      <c r="O163" s="70" t="str">
        <f t="shared" si="21"/>
        <v/>
      </c>
      <c r="P163" s="52" t="s">
        <v>145</v>
      </c>
      <c r="Q163" s="8" t="s">
        <v>145</v>
      </c>
      <c r="R163" s="52"/>
      <c r="S163" s="52"/>
      <c r="T163" s="52"/>
      <c r="U163" s="52" t="s">
        <v>87</v>
      </c>
      <c r="V163" s="52"/>
      <c r="W163" s="54"/>
      <c r="X163" s="126">
        <f t="shared" si="23"/>
        <v>1</v>
      </c>
      <c r="Y163" s="126">
        <f t="shared" si="24"/>
        <v>1</v>
      </c>
      <c r="Z163" s="126">
        <f t="shared" si="25"/>
        <v>1</v>
      </c>
      <c r="AA163" s="126">
        <f t="shared" si="26"/>
        <v>1</v>
      </c>
      <c r="AB163" s="126">
        <f t="shared" si="22"/>
        <v>1</v>
      </c>
      <c r="AC163" s="126">
        <f t="shared" si="27"/>
        <v>1</v>
      </c>
    </row>
    <row r="164" spans="2:29" s="40" customFormat="1" ht="36" hidden="1" outlineLevel="1">
      <c r="B164" s="73">
        <f t="shared" si="29"/>
        <v>149</v>
      </c>
      <c r="C164" s="52" t="s">
        <v>387</v>
      </c>
      <c r="D164" s="52">
        <v>2</v>
      </c>
      <c r="E164" s="52" t="s">
        <v>448</v>
      </c>
      <c r="F164" s="56" t="s">
        <v>490</v>
      </c>
      <c r="G164" s="215" t="s">
        <v>28</v>
      </c>
      <c r="H164" s="56">
        <v>2</v>
      </c>
      <c r="I164" s="56" t="s">
        <v>458</v>
      </c>
      <c r="J164" s="52" t="s">
        <v>314</v>
      </c>
      <c r="K164" s="52"/>
      <c r="L164" s="52" t="s">
        <v>331</v>
      </c>
      <c r="M164" s="68"/>
      <c r="N164" s="83"/>
      <c r="O164" s="70" t="str">
        <f t="shared" si="21"/>
        <v/>
      </c>
      <c r="P164" s="52" t="s">
        <v>148</v>
      </c>
      <c r="Q164" s="52" t="s">
        <v>160</v>
      </c>
      <c r="R164" s="52" t="s">
        <v>128</v>
      </c>
      <c r="S164" s="52"/>
      <c r="T164" s="52"/>
      <c r="U164" s="52" t="s">
        <v>130</v>
      </c>
      <c r="V164" s="52"/>
      <c r="W164" s="54"/>
      <c r="X164" s="126">
        <f t="shared" si="23"/>
        <v>1</v>
      </c>
      <c r="Y164" s="126">
        <f t="shared" si="24"/>
        <v>1</v>
      </c>
      <c r="Z164" s="126">
        <f t="shared" si="25"/>
        <v>1</v>
      </c>
      <c r="AA164" s="126">
        <f t="shared" si="26"/>
        <v>1</v>
      </c>
      <c r="AB164" s="126">
        <f>IF(($G164="CM")*AND(N164&lt;&gt;""),$N164, 1)</f>
        <v>1</v>
      </c>
      <c r="AC164" s="126">
        <f t="shared" si="27"/>
        <v>1</v>
      </c>
    </row>
    <row r="165" spans="2:29" s="40" customFormat="1" ht="36" hidden="1" outlineLevel="1">
      <c r="B165" s="73">
        <f t="shared" si="29"/>
        <v>150</v>
      </c>
      <c r="C165" s="52" t="s">
        <v>387</v>
      </c>
      <c r="D165" s="52">
        <v>2</v>
      </c>
      <c r="E165" s="52" t="s">
        <v>448</v>
      </c>
      <c r="F165" s="56" t="s">
        <v>490</v>
      </c>
      <c r="G165" s="215" t="s">
        <v>28</v>
      </c>
      <c r="H165" s="56">
        <v>8</v>
      </c>
      <c r="I165" s="56" t="s">
        <v>529</v>
      </c>
      <c r="J165" s="52" t="s">
        <v>388</v>
      </c>
      <c r="K165" s="52"/>
      <c r="L165" s="52" t="s">
        <v>331</v>
      </c>
      <c r="M165" s="68"/>
      <c r="N165" s="83"/>
      <c r="O165" s="70" t="str">
        <f t="shared" si="21"/>
        <v/>
      </c>
      <c r="P165" s="52" t="s">
        <v>148</v>
      </c>
      <c r="Q165" s="52" t="s">
        <v>127</v>
      </c>
      <c r="R165" s="52"/>
      <c r="S165" s="52"/>
      <c r="T165" s="52"/>
      <c r="U165" s="52" t="s">
        <v>106</v>
      </c>
      <c r="V165" s="52"/>
      <c r="W165" s="54"/>
      <c r="X165" s="126">
        <f t="shared" si="23"/>
        <v>1</v>
      </c>
      <c r="Y165" s="126">
        <f t="shared" si="24"/>
        <v>1</v>
      </c>
      <c r="Z165" s="126">
        <f t="shared" si="25"/>
        <v>1</v>
      </c>
      <c r="AA165" s="126">
        <f t="shared" si="26"/>
        <v>1</v>
      </c>
      <c r="AB165" s="126">
        <f>IF(($G165="CM")*AND(N165&lt;&gt;""),$N165, 1)</f>
        <v>1</v>
      </c>
      <c r="AC165" s="126">
        <f t="shared" si="27"/>
        <v>1</v>
      </c>
    </row>
    <row r="166" spans="2:29" s="40" customFormat="1" ht="34.5" hidden="1" outlineLevel="1">
      <c r="B166" s="73">
        <f t="shared" si="29"/>
        <v>151</v>
      </c>
      <c r="C166" s="52" t="s">
        <v>387</v>
      </c>
      <c r="D166" s="52">
        <v>2</v>
      </c>
      <c r="E166" s="52" t="s">
        <v>448</v>
      </c>
      <c r="F166" s="52" t="s">
        <v>282</v>
      </c>
      <c r="G166" s="215"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23"/>
        <v>1</v>
      </c>
      <c r="Y166" s="126">
        <f t="shared" si="24"/>
        <v>1</v>
      </c>
      <c r="Z166" s="126">
        <f t="shared" si="25"/>
        <v>1</v>
      </c>
      <c r="AA166" s="126">
        <f t="shared" si="26"/>
        <v>1</v>
      </c>
      <c r="AB166" s="126">
        <f>IF(($G166="CM")*AND(N166&lt;&gt;""),$N166, 1)</f>
        <v>1</v>
      </c>
      <c r="AC166" s="126">
        <f t="shared" si="27"/>
        <v>1</v>
      </c>
    </row>
    <row r="167" spans="2:29" s="40" customFormat="1" ht="60" hidden="1" outlineLevel="1">
      <c r="B167" s="73">
        <f t="shared" si="29"/>
        <v>152</v>
      </c>
      <c r="C167" s="52" t="s">
        <v>387</v>
      </c>
      <c r="D167" s="52">
        <v>3</v>
      </c>
      <c r="E167" s="52" t="s">
        <v>449</v>
      </c>
      <c r="F167" s="53"/>
      <c r="G167" s="215" t="s">
        <v>28</v>
      </c>
      <c r="H167" s="52"/>
      <c r="I167" s="52"/>
      <c r="J167" s="52" t="s">
        <v>388</v>
      </c>
      <c r="K167" s="52" t="s">
        <v>583</v>
      </c>
      <c r="L167" s="52" t="s">
        <v>331</v>
      </c>
      <c r="M167" s="68"/>
      <c r="N167" s="83"/>
      <c r="O167" s="70" t="str">
        <f t="shared" si="21"/>
        <v/>
      </c>
      <c r="P167" s="52" t="s">
        <v>338</v>
      </c>
      <c r="Q167" s="52" t="s">
        <v>452</v>
      </c>
      <c r="R167" s="52"/>
      <c r="S167" s="52"/>
      <c r="T167" s="52"/>
      <c r="U167" s="52" t="s">
        <v>98</v>
      </c>
      <c r="V167" s="52"/>
      <c r="W167" s="54"/>
      <c r="X167" s="126">
        <f t="shared" si="23"/>
        <v>1</v>
      </c>
      <c r="Y167" s="126">
        <f t="shared" si="24"/>
        <v>1</v>
      </c>
      <c r="Z167" s="126">
        <f t="shared" si="25"/>
        <v>1</v>
      </c>
      <c r="AA167" s="126">
        <f t="shared" si="26"/>
        <v>1</v>
      </c>
      <c r="AB167" s="126">
        <f>IF(($G167="CM")*AND(N167&lt;&gt;""),$N167, 1)</f>
        <v>1</v>
      </c>
      <c r="AC167" s="126">
        <f t="shared" si="27"/>
        <v>1</v>
      </c>
    </row>
    <row r="168" spans="2:29" s="40" customFormat="1" ht="36" hidden="1" outlineLevel="1">
      <c r="B168" s="73">
        <f t="shared" si="29"/>
        <v>153</v>
      </c>
      <c r="C168" s="52" t="s">
        <v>387</v>
      </c>
      <c r="D168" s="52">
        <v>4</v>
      </c>
      <c r="E168" s="52" t="s">
        <v>449</v>
      </c>
      <c r="F168" s="56" t="s">
        <v>490</v>
      </c>
      <c r="G168" s="215" t="s">
        <v>28</v>
      </c>
      <c r="H168" s="56">
        <v>5</v>
      </c>
      <c r="I168" s="56" t="s">
        <v>564</v>
      </c>
      <c r="J168" s="52" t="s">
        <v>388</v>
      </c>
      <c r="K168" s="52"/>
      <c r="L168" s="52" t="s">
        <v>331</v>
      </c>
      <c r="M168" s="68"/>
      <c r="N168" s="83"/>
      <c r="O168" s="70" t="str">
        <f t="shared" si="21"/>
        <v/>
      </c>
      <c r="P168" s="52" t="s">
        <v>148</v>
      </c>
      <c r="Q168" s="52" t="s">
        <v>162</v>
      </c>
      <c r="R168" s="52" t="s">
        <v>128</v>
      </c>
      <c r="S168" s="52"/>
      <c r="T168" s="52"/>
      <c r="U168" s="52" t="s">
        <v>95</v>
      </c>
      <c r="V168" s="52"/>
      <c r="W168" s="54"/>
      <c r="X168" s="126">
        <f t="shared" si="23"/>
        <v>1</v>
      </c>
      <c r="Y168" s="126">
        <f t="shared" si="24"/>
        <v>1</v>
      </c>
      <c r="Z168" s="126">
        <f t="shared" si="25"/>
        <v>1</v>
      </c>
      <c r="AA168" s="126">
        <f t="shared" si="26"/>
        <v>1</v>
      </c>
      <c r="AB168" s="126">
        <f>IF(($G168="CM")*AND(N168&lt;&gt;""),$N168, 1)</f>
        <v>1</v>
      </c>
      <c r="AC168" s="126">
        <f t="shared" si="27"/>
        <v>1</v>
      </c>
    </row>
  </sheetData>
  <autoFilter ref="B9:V168">
    <filterColumn colId="2" showButton="0"/>
    <filterColumn colId="5">
      <filters>
        <filter val="PRO"/>
      </filters>
    </filterColumn>
    <filterColumn colId="6" showButton="0"/>
    <filterColumn colId="12" showButton="0"/>
    <filterColumn colId="19">
      <filters>
        <filter val="7.0.1.22 Proceso de elaboración de propuestas"/>
      </filters>
    </filterColumn>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37" priority="1" stopIfTrue="1">
      <formula>O12="û"</formula>
    </cfRule>
    <cfRule type="expression" dxfId="36" priority="2" stopIfTrue="1">
      <formula>O12="ü"</formula>
    </cfRule>
    <cfRule type="expression" dxfId="35" priority="3" stopIfTrue="1">
      <formula>O12="l"</formula>
    </cfRule>
  </conditionalFormatting>
  <conditionalFormatting sqref="N156:N168 N48:N80 N12:N46 N82:N154">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M156:M168 M48:M80 M12:M46 M82:M154">
    <cfRule type="cellIs" dxfId="31"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J8:AK8" evalError="1"/>
  </ignoredErrors>
</worksheet>
</file>

<file path=xl/worksheets/sheet5.xml><?xml version="1.0" encoding="utf-8"?>
<worksheet xmlns="http://schemas.openxmlformats.org/spreadsheetml/2006/main" xmlns:r="http://schemas.openxmlformats.org/officeDocument/2006/relationships">
  <sheetPr codeName="Sheet6" enableFormatConditionsCalculation="0">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90" t="s">
        <v>29</v>
      </c>
      <c r="C2" s="291"/>
      <c r="D2" s="292"/>
      <c r="E2" s="202">
        <v>2</v>
      </c>
    </row>
    <row r="3" spans="2:37" ht="12.75" customHeight="1">
      <c r="B3" s="290" t="s">
        <v>517</v>
      </c>
      <c r="C3" s="291"/>
      <c r="D3" s="292"/>
      <c r="E3" s="202" t="s">
        <v>32</v>
      </c>
      <c r="H3" s="286" t="s">
        <v>494</v>
      </c>
      <c r="I3" s="287"/>
      <c r="J3" s="201">
        <f>COUNTIF($N$12:$N$168,"Si")</f>
        <v>17</v>
      </c>
      <c r="AE3" s="111"/>
      <c r="AF3" s="139" t="s">
        <v>202</v>
      </c>
      <c r="AG3" s="139" t="s">
        <v>453</v>
      </c>
      <c r="AH3" s="139" t="s">
        <v>283</v>
      </c>
      <c r="AI3" s="139" t="s">
        <v>584</v>
      </c>
      <c r="AJ3" s="139" t="s">
        <v>28</v>
      </c>
      <c r="AK3" s="139" t="s">
        <v>27</v>
      </c>
    </row>
    <row r="4" spans="2:37" ht="12" customHeight="1">
      <c r="B4" s="290" t="s">
        <v>292</v>
      </c>
      <c r="C4" s="291"/>
      <c r="D4" s="292"/>
      <c r="E4" s="202" t="s">
        <v>38</v>
      </c>
      <c r="H4" s="286" t="s">
        <v>495</v>
      </c>
      <c r="I4" s="287"/>
      <c r="J4" s="201">
        <f>COUNTIF($N$12:$N$168,"No")</f>
        <v>2</v>
      </c>
      <c r="AE4" s="135" t="s">
        <v>494</v>
      </c>
      <c r="AF4" s="136">
        <f t="shared" ref="AF4:AK4" si="0">COUNTIF(X12:X168,"Si")</f>
        <v>7</v>
      </c>
      <c r="AG4" s="136">
        <f t="shared" si="0"/>
        <v>2</v>
      </c>
      <c r="AH4" s="136">
        <f t="shared" si="0"/>
        <v>2</v>
      </c>
      <c r="AI4" s="136">
        <f t="shared" si="0"/>
        <v>2</v>
      </c>
      <c r="AJ4" s="136">
        <f t="shared" si="0"/>
        <v>3</v>
      </c>
      <c r="AK4" s="136">
        <f t="shared" si="0"/>
        <v>1</v>
      </c>
    </row>
    <row r="5" spans="2:37" ht="12.75" customHeight="1">
      <c r="B5" s="290" t="s">
        <v>290</v>
      </c>
      <c r="C5" s="291"/>
      <c r="D5" s="292"/>
      <c r="E5" s="203">
        <v>39696</v>
      </c>
      <c r="H5" s="286" t="s">
        <v>496</v>
      </c>
      <c r="I5" s="287"/>
      <c r="J5" s="201">
        <f>COUNTIF($N$14:$N$168,"NA")</f>
        <v>1</v>
      </c>
      <c r="AE5" s="135" t="s">
        <v>495</v>
      </c>
      <c r="AF5" s="136">
        <f t="shared" ref="AF5:AK5" si="1">COUNTIF(X12:X168,"No")</f>
        <v>2</v>
      </c>
      <c r="AG5" s="136">
        <f t="shared" si="1"/>
        <v>0</v>
      </c>
      <c r="AH5" s="136">
        <f t="shared" si="1"/>
        <v>0</v>
      </c>
      <c r="AI5" s="136">
        <f t="shared" si="1"/>
        <v>0</v>
      </c>
      <c r="AJ5" s="136">
        <f t="shared" si="1"/>
        <v>0</v>
      </c>
      <c r="AK5" s="136">
        <f t="shared" si="1"/>
        <v>0</v>
      </c>
    </row>
    <row r="6" spans="2:37" ht="12.75" customHeight="1">
      <c r="B6" s="290" t="s">
        <v>17</v>
      </c>
      <c r="C6" s="291"/>
      <c r="D6" s="292"/>
      <c r="E6" s="202" t="s">
        <v>440</v>
      </c>
      <c r="H6" s="36" t="s">
        <v>221</v>
      </c>
      <c r="I6" s="36"/>
      <c r="J6" s="199">
        <f>((J3+J4))/(J3+J4+ COUNTIF($N$14:$N$168,""))</f>
        <v>0.12418300653594772</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218</v>
      </c>
      <c r="I7" s="36"/>
      <c r="J7" s="199">
        <f>J3/(J3+J4)</f>
        <v>0.89473684210526316</v>
      </c>
      <c r="AE7" s="135" t="s">
        <v>221</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218</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88" t="s">
        <v>171</v>
      </c>
      <c r="C9" s="288" t="s">
        <v>209</v>
      </c>
      <c r="D9" s="293" t="s">
        <v>497</v>
      </c>
      <c r="E9" s="293"/>
      <c r="F9" s="39"/>
      <c r="G9" s="294" t="s">
        <v>22</v>
      </c>
      <c r="H9" s="293" t="s">
        <v>203</v>
      </c>
      <c r="I9" s="293"/>
      <c r="J9" s="288" t="s">
        <v>206</v>
      </c>
      <c r="K9" s="288" t="s">
        <v>198</v>
      </c>
      <c r="L9" s="288" t="s">
        <v>330</v>
      </c>
      <c r="M9" s="288" t="s">
        <v>421</v>
      </c>
      <c r="N9" s="288" t="s">
        <v>332</v>
      </c>
      <c r="O9" s="288"/>
      <c r="P9" s="288" t="s">
        <v>493</v>
      </c>
      <c r="Q9" s="288" t="s">
        <v>207</v>
      </c>
      <c r="R9" s="288" t="s">
        <v>188</v>
      </c>
      <c r="S9" s="288" t="s">
        <v>189</v>
      </c>
      <c r="T9" s="288" t="s">
        <v>190</v>
      </c>
      <c r="U9" s="288" t="s">
        <v>208</v>
      </c>
      <c r="V9" s="288" t="s">
        <v>374</v>
      </c>
    </row>
    <row r="10" spans="2:37" ht="24" customHeight="1" thickBot="1">
      <c r="B10" s="289"/>
      <c r="C10" s="289"/>
      <c r="D10" s="71" t="s">
        <v>171</v>
      </c>
      <c r="E10" s="71" t="s">
        <v>325</v>
      </c>
      <c r="F10" s="71" t="s">
        <v>204</v>
      </c>
      <c r="G10" s="295"/>
      <c r="H10" s="71" t="s">
        <v>171</v>
      </c>
      <c r="I10" s="72" t="s">
        <v>325</v>
      </c>
      <c r="J10" s="289"/>
      <c r="K10" s="289"/>
      <c r="L10" s="289"/>
      <c r="M10" s="289"/>
      <c r="N10" s="289"/>
      <c r="O10" s="289"/>
      <c r="P10" s="289"/>
      <c r="Q10" s="289"/>
      <c r="R10" s="289"/>
      <c r="S10" s="289"/>
      <c r="T10" s="289"/>
      <c r="U10" s="289"/>
      <c r="V10" s="289"/>
      <c r="X10" s="125" t="s">
        <v>202</v>
      </c>
      <c r="Y10" s="125" t="s">
        <v>453</v>
      </c>
      <c r="Z10" s="125" t="s">
        <v>283</v>
      </c>
      <c r="AA10" s="125" t="s">
        <v>584</v>
      </c>
      <c r="AB10" s="125" t="s">
        <v>28</v>
      </c>
      <c r="AC10" s="125" t="s">
        <v>27</v>
      </c>
    </row>
    <row r="11" spans="2:37" ht="18" customHeight="1" thickBot="1">
      <c r="B11" s="104" t="s">
        <v>504</v>
      </c>
      <c r="C11" s="93"/>
      <c r="D11" s="93"/>
      <c r="E11" s="93"/>
      <c r="F11" s="93"/>
      <c r="G11" s="93"/>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c r="B12" s="73">
        <v>1</v>
      </c>
      <c r="C12" s="73" t="s">
        <v>390</v>
      </c>
      <c r="D12" s="73">
        <v>1</v>
      </c>
      <c r="E12" s="73" t="s">
        <v>389</v>
      </c>
      <c r="F12" s="74"/>
      <c r="G12" s="52" t="s">
        <v>202</v>
      </c>
      <c r="H12" s="73"/>
      <c r="I12" s="73"/>
      <c r="J12" s="73" t="s">
        <v>576</v>
      </c>
      <c r="K12" s="73" t="s">
        <v>536</v>
      </c>
      <c r="L12" s="75" t="s">
        <v>331</v>
      </c>
      <c r="M12" s="76">
        <v>1</v>
      </c>
      <c r="N12" s="77" t="s">
        <v>223</v>
      </c>
      <c r="O12" s="78" t="str">
        <f t="shared" ref="O12:O43" si="4">IF(N12="No","û",IF(N12="Si","ü",IF(N12="NA","l","")))</f>
        <v>û</v>
      </c>
      <c r="P12" s="73" t="s">
        <v>151</v>
      </c>
      <c r="Q12" s="73" t="s">
        <v>526</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390</v>
      </c>
      <c r="D13" s="73">
        <v>2</v>
      </c>
      <c r="E13" s="73" t="s">
        <v>533</v>
      </c>
      <c r="F13" s="74"/>
      <c r="G13" s="52"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390</v>
      </c>
      <c r="D14" s="52">
        <v>3</v>
      </c>
      <c r="E14" s="52" t="s">
        <v>391</v>
      </c>
      <c r="F14" s="53"/>
      <c r="G14" s="52" t="s">
        <v>202</v>
      </c>
      <c r="H14" s="52"/>
      <c r="I14" s="52"/>
      <c r="J14" s="52" t="s">
        <v>182</v>
      </c>
      <c r="K14" s="52" t="s">
        <v>576</v>
      </c>
      <c r="L14" s="52" t="s">
        <v>331</v>
      </c>
      <c r="M14" s="68">
        <v>2</v>
      </c>
      <c r="N14" s="67" t="s">
        <v>223</v>
      </c>
      <c r="O14" s="78" t="str">
        <f t="shared" si="4"/>
        <v>û</v>
      </c>
      <c r="P14" s="52" t="s">
        <v>528</v>
      </c>
      <c r="Q14" s="52" t="s">
        <v>527</v>
      </c>
      <c r="R14" s="52" t="s">
        <v>390</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390</v>
      </c>
      <c r="D15" s="52">
        <v>3</v>
      </c>
      <c r="E15" s="52" t="s">
        <v>391</v>
      </c>
      <c r="F15" s="53"/>
      <c r="G15" s="52" t="s">
        <v>202</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390</v>
      </c>
      <c r="D16" s="52">
        <v>3</v>
      </c>
      <c r="E16" s="52" t="s">
        <v>391</v>
      </c>
      <c r="F16" s="53"/>
      <c r="G16" s="52"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390</v>
      </c>
      <c r="D17" s="52">
        <v>3</v>
      </c>
      <c r="E17" s="52" t="s">
        <v>391</v>
      </c>
      <c r="F17" s="53"/>
      <c r="G17" s="52"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390</v>
      </c>
      <c r="D18" s="52">
        <v>3</v>
      </c>
      <c r="E18" s="52" t="s">
        <v>391</v>
      </c>
      <c r="F18" s="53"/>
      <c r="G18" s="52"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390</v>
      </c>
      <c r="D19" s="52">
        <v>3</v>
      </c>
      <c r="E19" s="52" t="s">
        <v>391</v>
      </c>
      <c r="F19" s="53"/>
      <c r="G19" s="52"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390</v>
      </c>
      <c r="D20" s="52">
        <v>3</v>
      </c>
      <c r="E20" s="52" t="s">
        <v>391</v>
      </c>
      <c r="F20" s="53"/>
      <c r="G20" s="52"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390</v>
      </c>
      <c r="D21" s="52">
        <v>3</v>
      </c>
      <c r="E21" s="52" t="s">
        <v>391</v>
      </c>
      <c r="F21" s="53"/>
      <c r="G21" s="52"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390</v>
      </c>
      <c r="D22" s="52">
        <v>3</v>
      </c>
      <c r="E22" s="52" t="s">
        <v>391</v>
      </c>
      <c r="F22" s="53"/>
      <c r="G22" s="52"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390</v>
      </c>
      <c r="D23" s="52">
        <v>3</v>
      </c>
      <c r="E23" s="52" t="s">
        <v>391</v>
      </c>
      <c r="F23" s="53"/>
      <c r="G23" s="52"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390</v>
      </c>
      <c r="D24" s="52">
        <v>3</v>
      </c>
      <c r="E24" s="52" t="s">
        <v>392</v>
      </c>
      <c r="F24" s="53"/>
      <c r="G24" s="52" t="s">
        <v>202</v>
      </c>
      <c r="H24" s="52"/>
      <c r="I24" s="52"/>
      <c r="J24" s="52" t="s">
        <v>182</v>
      </c>
      <c r="K24" s="52" t="s">
        <v>537</v>
      </c>
      <c r="L24" s="52" t="s">
        <v>331</v>
      </c>
      <c r="M24" s="68">
        <v>1</v>
      </c>
      <c r="N24" s="67" t="s">
        <v>220</v>
      </c>
      <c r="O24" s="78" t="str">
        <f t="shared" si="4"/>
        <v>ü</v>
      </c>
      <c r="P24" s="52" t="s">
        <v>380</v>
      </c>
      <c r="Q24" s="52" t="s">
        <v>393</v>
      </c>
      <c r="R24" s="52" t="s">
        <v>390</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390</v>
      </c>
      <c r="D25" s="52">
        <v>3</v>
      </c>
      <c r="E25" s="52" t="s">
        <v>456</v>
      </c>
      <c r="F25" s="53"/>
      <c r="G25" s="52" t="s">
        <v>202</v>
      </c>
      <c r="H25" s="52"/>
      <c r="I25" s="52"/>
      <c r="J25" s="52" t="s">
        <v>182</v>
      </c>
      <c r="K25" s="52" t="s">
        <v>537</v>
      </c>
      <c r="L25" s="52" t="s">
        <v>331</v>
      </c>
      <c r="M25" s="68">
        <v>3</v>
      </c>
      <c r="N25" s="67" t="s">
        <v>15</v>
      </c>
      <c r="O25" s="78" t="str">
        <f t="shared" si="4"/>
        <v>l</v>
      </c>
      <c r="P25" s="52" t="s">
        <v>381</v>
      </c>
      <c r="Q25" s="52" t="s">
        <v>394</v>
      </c>
      <c r="R25" s="52" t="s">
        <v>390</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390</v>
      </c>
      <c r="D26" s="52">
        <v>3</v>
      </c>
      <c r="E26" s="52" t="s">
        <v>178</v>
      </c>
      <c r="F26" s="52"/>
      <c r="G26" s="52" t="s">
        <v>202</v>
      </c>
      <c r="H26" s="52"/>
      <c r="I26" s="52"/>
      <c r="J26" s="52" t="s">
        <v>182</v>
      </c>
      <c r="K26" s="52" t="s">
        <v>576</v>
      </c>
      <c r="L26" s="52" t="s">
        <v>331</v>
      </c>
      <c r="M26" s="68"/>
      <c r="N26" s="67"/>
      <c r="O26" s="78" t="str">
        <f t="shared" si="4"/>
        <v/>
      </c>
      <c r="P26" s="52" t="s">
        <v>382</v>
      </c>
      <c r="Q26" s="52" t="s">
        <v>395</v>
      </c>
      <c r="R26" s="52" t="s">
        <v>390</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390</v>
      </c>
      <c r="D27" s="52">
        <v>2.4</v>
      </c>
      <c r="E27" s="52" t="s">
        <v>178</v>
      </c>
      <c r="F27" s="52"/>
      <c r="G27" s="52" t="s">
        <v>202</v>
      </c>
      <c r="H27" s="52">
        <v>1</v>
      </c>
      <c r="I27" s="55" t="s">
        <v>274</v>
      </c>
      <c r="J27" s="52" t="s">
        <v>182</v>
      </c>
      <c r="K27" s="52" t="s">
        <v>174</v>
      </c>
      <c r="L27" s="52" t="s">
        <v>331</v>
      </c>
      <c r="M27" s="68">
        <v>1</v>
      </c>
      <c r="N27" s="67" t="s">
        <v>220</v>
      </c>
      <c r="O27" s="78" t="str">
        <f t="shared" si="4"/>
        <v>ü</v>
      </c>
      <c r="P27" s="52" t="s">
        <v>116</v>
      </c>
      <c r="Q27" s="52" t="s">
        <v>118</v>
      </c>
      <c r="R27" s="52"/>
      <c r="S27" s="52"/>
      <c r="T27" s="52"/>
      <c r="U27" s="52" t="s">
        <v>96</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390</v>
      </c>
      <c r="D28" s="56">
        <v>2.4</v>
      </c>
      <c r="E28" s="56" t="s">
        <v>178</v>
      </c>
      <c r="F28" s="56"/>
      <c r="G28" s="52" t="s">
        <v>202</v>
      </c>
      <c r="H28" s="56">
        <v>3</v>
      </c>
      <c r="I28" s="57" t="s">
        <v>210</v>
      </c>
      <c r="J28" s="56" t="s">
        <v>182</v>
      </c>
      <c r="K28" s="56" t="s">
        <v>174</v>
      </c>
      <c r="L28" s="52" t="s">
        <v>331</v>
      </c>
      <c r="M28" s="68"/>
      <c r="N28" s="67"/>
      <c r="O28" s="78" t="str">
        <f t="shared" si="4"/>
        <v/>
      </c>
      <c r="P28" s="56" t="s">
        <v>116</v>
      </c>
      <c r="Q28" s="56" t="s">
        <v>131</v>
      </c>
      <c r="R28" s="56"/>
      <c r="S28" s="56"/>
      <c r="T28" s="56"/>
      <c r="U28" s="56" t="s">
        <v>96</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390</v>
      </c>
      <c r="D29" s="52">
        <v>2.4</v>
      </c>
      <c r="E29" s="52" t="s">
        <v>178</v>
      </c>
      <c r="F29" s="52"/>
      <c r="G29" s="52" t="s">
        <v>28</v>
      </c>
      <c r="H29" s="52">
        <v>4</v>
      </c>
      <c r="I29" s="55" t="s">
        <v>275</v>
      </c>
      <c r="J29" s="52" t="s">
        <v>182</v>
      </c>
      <c r="K29" s="52" t="s">
        <v>174</v>
      </c>
      <c r="L29" s="52" t="s">
        <v>331</v>
      </c>
      <c r="M29" s="68"/>
      <c r="N29" s="67"/>
      <c r="O29" s="78" t="str">
        <f t="shared" si="4"/>
        <v/>
      </c>
      <c r="P29" s="52" t="s">
        <v>116</v>
      </c>
      <c r="Q29" s="52" t="s">
        <v>117</v>
      </c>
      <c r="R29" s="52"/>
      <c r="S29" s="52"/>
      <c r="T29" s="52"/>
      <c r="U29" s="52" t="s">
        <v>96</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390</v>
      </c>
      <c r="D30" s="52">
        <v>2.4</v>
      </c>
      <c r="E30" s="52" t="s">
        <v>178</v>
      </c>
      <c r="F30" s="52"/>
      <c r="G30" s="52" t="s">
        <v>28</v>
      </c>
      <c r="H30" s="52">
        <v>5</v>
      </c>
      <c r="I30" s="55" t="s">
        <v>276</v>
      </c>
      <c r="J30" s="52" t="s">
        <v>182</v>
      </c>
      <c r="K30" s="52" t="s">
        <v>174</v>
      </c>
      <c r="L30" s="52" t="s">
        <v>331</v>
      </c>
      <c r="M30" s="68"/>
      <c r="N30" s="67"/>
      <c r="O30" s="78" t="str">
        <f t="shared" si="4"/>
        <v/>
      </c>
      <c r="P30" s="52" t="s">
        <v>116</v>
      </c>
      <c r="Q30" s="52" t="s">
        <v>277</v>
      </c>
      <c r="R30" s="52"/>
      <c r="S30" s="52"/>
      <c r="T30" s="52"/>
      <c r="U30" s="52" t="s">
        <v>96</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390</v>
      </c>
      <c r="D31" s="52">
        <v>3</v>
      </c>
      <c r="E31" s="52" t="s">
        <v>179</v>
      </c>
      <c r="F31" s="52"/>
      <c r="G31" s="52" t="s">
        <v>202</v>
      </c>
      <c r="H31" s="52"/>
      <c r="I31" s="52"/>
      <c r="J31" s="52" t="s">
        <v>182</v>
      </c>
      <c r="K31" s="52" t="s">
        <v>576</v>
      </c>
      <c r="L31" s="52" t="s">
        <v>331</v>
      </c>
      <c r="M31" s="68"/>
      <c r="N31" s="67" t="s">
        <v>220</v>
      </c>
      <c r="O31" s="78" t="str">
        <f t="shared" si="4"/>
        <v>ü</v>
      </c>
      <c r="P31" s="52" t="s">
        <v>238</v>
      </c>
      <c r="Q31" s="52" t="s">
        <v>396</v>
      </c>
      <c r="R31" s="52" t="s">
        <v>390</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390</v>
      </c>
      <c r="D32" s="52">
        <v>2.6</v>
      </c>
      <c r="E32" s="52" t="s">
        <v>180</v>
      </c>
      <c r="F32" s="52"/>
      <c r="G32" s="52" t="s">
        <v>202</v>
      </c>
      <c r="H32" s="52"/>
      <c r="I32" s="52"/>
      <c r="J32" s="52" t="s">
        <v>576</v>
      </c>
      <c r="K32" s="52" t="s">
        <v>536</v>
      </c>
      <c r="L32" s="52" t="s">
        <v>331</v>
      </c>
      <c r="M32" s="68"/>
      <c r="N32" s="67"/>
      <c r="O32" s="78" t="str">
        <f t="shared" si="4"/>
        <v/>
      </c>
      <c r="P32" s="52" t="s">
        <v>239</v>
      </c>
      <c r="Q32" s="52" t="s">
        <v>397</v>
      </c>
      <c r="R32" s="52" t="s">
        <v>390</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390</v>
      </c>
      <c r="D33" s="52">
        <v>2.7</v>
      </c>
      <c r="E33" s="52" t="s">
        <v>181</v>
      </c>
      <c r="F33" s="52"/>
      <c r="G33" s="52" t="s">
        <v>202</v>
      </c>
      <c r="H33" s="52"/>
      <c r="I33" s="52"/>
      <c r="J33" s="52" t="s">
        <v>182</v>
      </c>
      <c r="K33" s="52" t="s">
        <v>576</v>
      </c>
      <c r="L33" s="52" t="s">
        <v>331</v>
      </c>
      <c r="M33" s="68"/>
      <c r="N33" s="67"/>
      <c r="O33" s="78" t="str">
        <f t="shared" si="4"/>
        <v/>
      </c>
      <c r="P33" s="52" t="s">
        <v>239</v>
      </c>
      <c r="Q33" s="52" t="s">
        <v>334</v>
      </c>
      <c r="R33" s="52" t="s">
        <v>390</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390</v>
      </c>
      <c r="D34" s="52">
        <v>4</v>
      </c>
      <c r="E34" s="52" t="s">
        <v>185</v>
      </c>
      <c r="F34" s="52"/>
      <c r="G34" s="52" t="s">
        <v>202</v>
      </c>
      <c r="H34" s="52"/>
      <c r="I34" s="122"/>
      <c r="J34" s="52" t="s">
        <v>576</v>
      </c>
      <c r="K34" s="52" t="s">
        <v>182</v>
      </c>
      <c r="L34" s="52" t="s">
        <v>331</v>
      </c>
      <c r="M34" s="68"/>
      <c r="N34" s="67"/>
      <c r="O34" s="78" t="str">
        <f t="shared" si="4"/>
        <v/>
      </c>
      <c r="P34" s="52" t="s">
        <v>240</v>
      </c>
      <c r="Q34" s="52" t="s">
        <v>399</v>
      </c>
      <c r="R34" s="52" t="s">
        <v>398</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390</v>
      </c>
      <c r="D35" s="52">
        <v>3.1</v>
      </c>
      <c r="E35" s="52" t="s">
        <v>185</v>
      </c>
      <c r="F35" s="52"/>
      <c r="G35" s="52" t="s">
        <v>28</v>
      </c>
      <c r="H35" s="52">
        <v>1</v>
      </c>
      <c r="I35" s="123" t="s">
        <v>458</v>
      </c>
      <c r="J35" s="52" t="s">
        <v>182</v>
      </c>
      <c r="K35" s="52" t="s">
        <v>388</v>
      </c>
      <c r="L35" s="52" t="s">
        <v>331</v>
      </c>
      <c r="M35" s="68"/>
      <c r="N35" s="67"/>
      <c r="O35" s="78" t="str">
        <f t="shared" si="4"/>
        <v/>
      </c>
      <c r="P35" s="52" t="s">
        <v>31</v>
      </c>
      <c r="Q35" s="52" t="s">
        <v>562</v>
      </c>
      <c r="R35" s="52" t="s">
        <v>121</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390</v>
      </c>
      <c r="D36" s="52">
        <v>3.1</v>
      </c>
      <c r="E36" s="52" t="s">
        <v>185</v>
      </c>
      <c r="F36" s="52"/>
      <c r="G36" s="52" t="s">
        <v>584</v>
      </c>
      <c r="H36" s="52">
        <v>1</v>
      </c>
      <c r="I36" s="52" t="s">
        <v>471</v>
      </c>
      <c r="J36" s="52" t="s">
        <v>314</v>
      </c>
      <c r="K36" s="52" t="s">
        <v>472</v>
      </c>
      <c r="L36" s="52" t="s">
        <v>331</v>
      </c>
      <c r="M36" s="68"/>
      <c r="N36" s="67" t="s">
        <v>220</v>
      </c>
      <c r="O36" s="78" t="str">
        <f t="shared" si="4"/>
        <v>ü</v>
      </c>
      <c r="P36" s="52" t="s">
        <v>14</v>
      </c>
      <c r="Q36" s="8" t="s">
        <v>111</v>
      </c>
      <c r="R36" s="52"/>
      <c r="S36" s="52"/>
      <c r="T36" s="52"/>
      <c r="U36" s="52" t="s">
        <v>97</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390</v>
      </c>
      <c r="D37" s="52">
        <v>3.1</v>
      </c>
      <c r="E37" s="52" t="s">
        <v>185</v>
      </c>
      <c r="F37" s="52"/>
      <c r="G37" s="52" t="s">
        <v>584</v>
      </c>
      <c r="H37" s="52">
        <v>2</v>
      </c>
      <c r="I37" s="52" t="s">
        <v>473</v>
      </c>
      <c r="J37" s="52" t="s">
        <v>314</v>
      </c>
      <c r="K37" s="52" t="s">
        <v>182</v>
      </c>
      <c r="L37" s="52" t="s">
        <v>331</v>
      </c>
      <c r="M37" s="68"/>
      <c r="N37" s="67"/>
      <c r="O37" s="78" t="str">
        <f t="shared" si="4"/>
        <v/>
      </c>
      <c r="P37" s="52" t="s">
        <v>111</v>
      </c>
      <c r="Q37" s="8" t="s">
        <v>126</v>
      </c>
      <c r="R37" s="52"/>
      <c r="S37" s="52"/>
      <c r="T37" s="52"/>
      <c r="U37" s="52" t="s">
        <v>97</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390</v>
      </c>
      <c r="D38" s="52">
        <v>3.1</v>
      </c>
      <c r="E38" s="52" t="s">
        <v>185</v>
      </c>
      <c r="F38" s="52"/>
      <c r="G38" s="52" t="s">
        <v>584</v>
      </c>
      <c r="H38" s="52">
        <v>3</v>
      </c>
      <c r="I38" s="52" t="s">
        <v>474</v>
      </c>
      <c r="J38" s="52" t="s">
        <v>182</v>
      </c>
      <c r="K38" s="52" t="s">
        <v>174</v>
      </c>
      <c r="L38" s="52" t="s">
        <v>331</v>
      </c>
      <c r="M38" s="68"/>
      <c r="N38" s="67"/>
      <c r="O38" s="78" t="str">
        <f t="shared" si="4"/>
        <v/>
      </c>
      <c r="P38" s="52" t="s">
        <v>126</v>
      </c>
      <c r="Q38" s="8" t="s">
        <v>126</v>
      </c>
      <c r="R38" s="52"/>
      <c r="S38" s="52"/>
      <c r="T38" s="52"/>
      <c r="U38" s="52" t="s">
        <v>97</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390</v>
      </c>
      <c r="D39" s="52">
        <v>3.1</v>
      </c>
      <c r="E39" s="52" t="s">
        <v>185</v>
      </c>
      <c r="F39" s="52"/>
      <c r="G39" s="52" t="s">
        <v>584</v>
      </c>
      <c r="H39" s="52">
        <v>4</v>
      </c>
      <c r="I39" s="52" t="s">
        <v>475</v>
      </c>
      <c r="J39" s="52" t="s">
        <v>314</v>
      </c>
      <c r="K39" s="52" t="s">
        <v>182</v>
      </c>
      <c r="L39" s="52" t="s">
        <v>331</v>
      </c>
      <c r="M39" s="68"/>
      <c r="N39" s="67"/>
      <c r="O39" s="78" t="str">
        <f t="shared" si="4"/>
        <v/>
      </c>
      <c r="P39" s="52" t="s">
        <v>111</v>
      </c>
      <c r="Q39" s="8" t="s">
        <v>111</v>
      </c>
      <c r="R39" s="52"/>
      <c r="S39" s="52"/>
      <c r="T39" s="52"/>
      <c r="U39" s="52" t="s">
        <v>97</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390</v>
      </c>
      <c r="D40" s="52">
        <v>3.1</v>
      </c>
      <c r="E40" s="52" t="s">
        <v>185</v>
      </c>
      <c r="F40" s="56"/>
      <c r="G40" s="52" t="s">
        <v>28</v>
      </c>
      <c r="H40" s="56">
        <v>2</v>
      </c>
      <c r="I40" s="56" t="s">
        <v>568</v>
      </c>
      <c r="J40" s="52" t="s">
        <v>314</v>
      </c>
      <c r="K40" s="52" t="s">
        <v>388</v>
      </c>
      <c r="L40" s="52" t="s">
        <v>331</v>
      </c>
      <c r="M40" s="68"/>
      <c r="N40" s="67"/>
      <c r="O40" s="78" t="str">
        <f t="shared" si="4"/>
        <v/>
      </c>
      <c r="P40" s="52" t="s">
        <v>31</v>
      </c>
      <c r="Q40" s="52" t="s">
        <v>565</v>
      </c>
      <c r="R40" s="52" t="s">
        <v>121</v>
      </c>
      <c r="S40" s="52"/>
      <c r="T40" s="52"/>
      <c r="U40" s="52" t="s">
        <v>95</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390</v>
      </c>
      <c r="D41" s="52">
        <v>3.1</v>
      </c>
      <c r="E41" s="52" t="s">
        <v>185</v>
      </c>
      <c r="F41" s="56"/>
      <c r="G41" s="52" t="s">
        <v>28</v>
      </c>
      <c r="H41" s="56">
        <v>8</v>
      </c>
      <c r="I41" s="58" t="s">
        <v>529</v>
      </c>
      <c r="J41" s="52" t="s">
        <v>388</v>
      </c>
      <c r="K41" s="52" t="s">
        <v>388</v>
      </c>
      <c r="L41" s="52" t="s">
        <v>331</v>
      </c>
      <c r="M41" s="68"/>
      <c r="N41" s="67"/>
      <c r="O41" s="78" t="str">
        <f t="shared" si="4"/>
        <v/>
      </c>
      <c r="P41" s="52" t="s">
        <v>31</v>
      </c>
      <c r="Q41" s="52" t="s">
        <v>122</v>
      </c>
      <c r="R41" s="52" t="s">
        <v>95</v>
      </c>
      <c r="S41" s="52"/>
      <c r="T41" s="52"/>
      <c r="U41" s="52" t="s">
        <v>95</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390</v>
      </c>
      <c r="D42" s="52">
        <v>3</v>
      </c>
      <c r="E42" s="52" t="s">
        <v>185</v>
      </c>
      <c r="F42" s="56"/>
      <c r="G42" s="52" t="s">
        <v>28</v>
      </c>
      <c r="H42" s="56">
        <v>3</v>
      </c>
      <c r="I42" s="56" t="s">
        <v>458</v>
      </c>
      <c r="J42" s="52" t="s">
        <v>182</v>
      </c>
      <c r="K42" s="52" t="s">
        <v>388</v>
      </c>
      <c r="L42" s="52" t="s">
        <v>331</v>
      </c>
      <c r="M42" s="68"/>
      <c r="N42" s="67" t="s">
        <v>220</v>
      </c>
      <c r="O42" s="78" t="str">
        <f t="shared" si="4"/>
        <v>ü</v>
      </c>
      <c r="P42" s="52" t="s">
        <v>115</v>
      </c>
      <c r="Q42" s="52" t="s">
        <v>563</v>
      </c>
      <c r="R42" s="52" t="s">
        <v>121</v>
      </c>
      <c r="S42" s="52"/>
      <c r="T42" s="52"/>
      <c r="U42" s="52" t="s">
        <v>95</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390</v>
      </c>
      <c r="D43" s="52">
        <v>4</v>
      </c>
      <c r="E43" s="52" t="s">
        <v>186</v>
      </c>
      <c r="F43" s="52"/>
      <c r="G43" s="52" t="s">
        <v>202</v>
      </c>
      <c r="H43" s="52"/>
      <c r="I43" s="52"/>
      <c r="J43" s="52" t="s">
        <v>201</v>
      </c>
      <c r="K43" s="52" t="s">
        <v>579</v>
      </c>
      <c r="L43" s="52" t="s">
        <v>331</v>
      </c>
      <c r="M43" s="68"/>
      <c r="N43" s="67"/>
      <c r="O43" s="78" t="str">
        <f t="shared" si="4"/>
        <v/>
      </c>
      <c r="P43" s="52" t="s">
        <v>240</v>
      </c>
      <c r="Q43" s="52" t="s">
        <v>400</v>
      </c>
      <c r="R43" s="52" t="s">
        <v>398</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390</v>
      </c>
      <c r="D44" s="52">
        <v>4</v>
      </c>
      <c r="E44" s="52" t="s">
        <v>187</v>
      </c>
      <c r="F44" s="52"/>
      <c r="G44" s="52" t="s">
        <v>202</v>
      </c>
      <c r="H44" s="52"/>
      <c r="I44" s="52"/>
      <c r="J44" s="52" t="s">
        <v>201</v>
      </c>
      <c r="K44" s="52" t="s">
        <v>182</v>
      </c>
      <c r="L44" s="52" t="s">
        <v>331</v>
      </c>
      <c r="M44" s="68"/>
      <c r="N44" s="67"/>
      <c r="O44" s="78" t="str">
        <f t="shared" ref="O44:O65" si="12">IF(N44="No","û",IF(N44="Si","ü",IF(N44="NA","l","")))</f>
        <v/>
      </c>
      <c r="P44" s="52" t="s">
        <v>400</v>
      </c>
      <c r="Q44" s="52" t="s">
        <v>401</v>
      </c>
      <c r="R44" s="52" t="s">
        <v>398</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390</v>
      </c>
      <c r="D45" s="60">
        <v>5</v>
      </c>
      <c r="E45" s="60" t="s">
        <v>538</v>
      </c>
      <c r="F45" s="60"/>
      <c r="G45" s="52" t="s">
        <v>202</v>
      </c>
      <c r="H45" s="60"/>
      <c r="I45" s="60"/>
      <c r="J45" s="60" t="s">
        <v>182</v>
      </c>
      <c r="K45" s="60" t="s">
        <v>174</v>
      </c>
      <c r="L45" s="60" t="s">
        <v>550</v>
      </c>
      <c r="M45" s="80"/>
      <c r="N45" s="81"/>
      <c r="O45" s="78" t="str">
        <f t="shared" si="12"/>
        <v/>
      </c>
      <c r="P45" s="124" t="s">
        <v>260</v>
      </c>
      <c r="Q45" s="60" t="s">
        <v>551</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390</v>
      </c>
      <c r="D46" s="60">
        <v>3.2</v>
      </c>
      <c r="E46" s="60" t="s">
        <v>187</v>
      </c>
      <c r="F46" s="79"/>
      <c r="G46" s="52" t="s">
        <v>28</v>
      </c>
      <c r="H46" s="79">
        <v>6</v>
      </c>
      <c r="I46" s="79" t="s">
        <v>564</v>
      </c>
      <c r="J46" s="60" t="s">
        <v>388</v>
      </c>
      <c r="K46" s="60" t="s">
        <v>182</v>
      </c>
      <c r="L46" s="60" t="s">
        <v>331</v>
      </c>
      <c r="M46" s="80"/>
      <c r="N46" s="81"/>
      <c r="O46" s="78" t="str">
        <f t="shared" si="12"/>
        <v/>
      </c>
      <c r="P46" s="52" t="s">
        <v>115</v>
      </c>
      <c r="Q46" s="52" t="s">
        <v>567</v>
      </c>
      <c r="R46" s="60" t="s">
        <v>121</v>
      </c>
      <c r="S46" s="60"/>
      <c r="T46" s="60"/>
      <c r="U46" s="52" t="s">
        <v>95</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175</v>
      </c>
      <c r="C47" s="93"/>
      <c r="D47" s="93"/>
      <c r="E47" s="93"/>
      <c r="F47" s="93"/>
      <c r="G47" s="93"/>
      <c r="H47" s="93"/>
      <c r="I47" s="93"/>
      <c r="J47" s="93"/>
      <c r="K47" s="93"/>
      <c r="L47" s="93"/>
      <c r="M47" s="93"/>
      <c r="N47" s="105" t="s">
        <v>521</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175</v>
      </c>
      <c r="D48" s="73">
        <v>1</v>
      </c>
      <c r="E48" s="73" t="s">
        <v>539</v>
      </c>
      <c r="F48" s="73"/>
      <c r="G48" s="52" t="s">
        <v>202</v>
      </c>
      <c r="H48" s="73"/>
      <c r="I48" s="73"/>
      <c r="J48" s="73" t="s">
        <v>576</v>
      </c>
      <c r="K48" s="73" t="s">
        <v>404</v>
      </c>
      <c r="L48" s="73" t="s">
        <v>331</v>
      </c>
      <c r="M48" s="76">
        <v>2</v>
      </c>
      <c r="N48" s="83" t="s">
        <v>220</v>
      </c>
      <c r="O48" s="69" t="str">
        <f t="shared" si="12"/>
        <v>ü</v>
      </c>
      <c r="P48" s="73" t="s">
        <v>405</v>
      </c>
      <c r="Q48" s="73" t="s">
        <v>540</v>
      </c>
      <c r="R48" s="73"/>
      <c r="S48" s="73"/>
      <c r="T48" s="73"/>
      <c r="U48" s="73" t="s">
        <v>98</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175</v>
      </c>
      <c r="D49" s="52">
        <v>2.1</v>
      </c>
      <c r="E49" s="52" t="s">
        <v>177</v>
      </c>
      <c r="F49" s="52"/>
      <c r="G49" s="52" t="s">
        <v>202</v>
      </c>
      <c r="H49" s="52"/>
      <c r="I49" s="52"/>
      <c r="J49" s="52" t="s">
        <v>182</v>
      </c>
      <c r="K49" s="52" t="s">
        <v>576</v>
      </c>
      <c r="L49" s="52" t="s">
        <v>331</v>
      </c>
      <c r="M49" s="68">
        <v>1</v>
      </c>
      <c r="N49" s="83" t="s">
        <v>220</v>
      </c>
      <c r="O49" s="70" t="str">
        <f t="shared" si="12"/>
        <v>ü</v>
      </c>
      <c r="P49" s="52" t="s">
        <v>541</v>
      </c>
      <c r="Q49" s="52" t="s">
        <v>542</v>
      </c>
      <c r="R49" s="52" t="s">
        <v>176</v>
      </c>
      <c r="S49" s="52"/>
      <c r="T49" s="52"/>
      <c r="U49" s="52" t="s">
        <v>98</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175</v>
      </c>
      <c r="D50" s="52">
        <v>2.1</v>
      </c>
      <c r="E50" s="52" t="s">
        <v>177</v>
      </c>
      <c r="F50" s="52"/>
      <c r="G50" s="52" t="s">
        <v>453</v>
      </c>
      <c r="H50" s="52">
        <v>1</v>
      </c>
      <c r="I50" s="52" t="s">
        <v>268</v>
      </c>
      <c r="J50" s="52" t="s">
        <v>576</v>
      </c>
      <c r="K50" s="52" t="s">
        <v>536</v>
      </c>
      <c r="L50" s="52" t="s">
        <v>331</v>
      </c>
      <c r="M50" s="68">
        <v>1</v>
      </c>
      <c r="N50" s="83" t="s">
        <v>220</v>
      </c>
      <c r="O50" s="70" t="str">
        <f t="shared" si="12"/>
        <v>ü</v>
      </c>
      <c r="P50" s="52" t="s">
        <v>167</v>
      </c>
      <c r="Q50" s="52" t="s">
        <v>107</v>
      </c>
      <c r="R50" s="52"/>
      <c r="S50" s="52"/>
      <c r="T50" s="52"/>
      <c r="U50" s="52" t="s">
        <v>108</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175</v>
      </c>
      <c r="D51" s="52">
        <v>2.2000000000000002</v>
      </c>
      <c r="E51" s="52" t="s">
        <v>183</v>
      </c>
      <c r="F51" s="52"/>
      <c r="G51" s="52" t="s">
        <v>202</v>
      </c>
      <c r="H51" s="52"/>
      <c r="I51" s="52"/>
      <c r="J51" s="52" t="s">
        <v>182</v>
      </c>
      <c r="K51" s="52" t="s">
        <v>201</v>
      </c>
      <c r="L51" s="52" t="s">
        <v>331</v>
      </c>
      <c r="M51" s="68"/>
      <c r="N51" s="83"/>
      <c r="O51" s="70" t="str">
        <f t="shared" si="12"/>
        <v/>
      </c>
      <c r="P51" s="52" t="s">
        <v>244</v>
      </c>
      <c r="Q51" s="52" t="s">
        <v>406</v>
      </c>
      <c r="R51" s="52" t="s">
        <v>176</v>
      </c>
      <c r="S51" s="52"/>
      <c r="T51" s="52"/>
      <c r="U51" s="52" t="s">
        <v>98</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175</v>
      </c>
      <c r="D52" s="52">
        <v>2.2999999999999998</v>
      </c>
      <c r="E52" s="52" t="s">
        <v>184</v>
      </c>
      <c r="F52" s="52"/>
      <c r="G52" s="52" t="s">
        <v>202</v>
      </c>
      <c r="H52" s="52"/>
      <c r="I52" s="52"/>
      <c r="J52" s="52" t="s">
        <v>182</v>
      </c>
      <c r="K52" s="52" t="s">
        <v>577</v>
      </c>
      <c r="L52" s="52" t="s">
        <v>331</v>
      </c>
      <c r="M52" s="68"/>
      <c r="N52" s="83"/>
      <c r="O52" s="70" t="str">
        <f t="shared" si="12"/>
        <v/>
      </c>
      <c r="P52" s="52" t="s">
        <v>245</v>
      </c>
      <c r="Q52" s="52" t="s">
        <v>457</v>
      </c>
      <c r="R52" s="52" t="s">
        <v>176</v>
      </c>
      <c r="S52" s="52"/>
      <c r="T52" s="52"/>
      <c r="U52" s="52" t="s">
        <v>98</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175</v>
      </c>
      <c r="D53" s="52">
        <v>2.2999999999999998</v>
      </c>
      <c r="E53" s="52" t="s">
        <v>184</v>
      </c>
      <c r="F53" s="52"/>
      <c r="G53" s="52" t="s">
        <v>453</v>
      </c>
      <c r="H53" s="52">
        <v>2</v>
      </c>
      <c r="I53" s="52" t="s">
        <v>454</v>
      </c>
      <c r="J53" s="52" t="s">
        <v>182</v>
      </c>
      <c r="K53" s="52" t="s">
        <v>201</v>
      </c>
      <c r="L53" s="52" t="s">
        <v>331</v>
      </c>
      <c r="M53" s="68"/>
      <c r="N53" s="83"/>
      <c r="O53" s="70" t="str">
        <f t="shared" si="12"/>
        <v/>
      </c>
      <c r="P53" s="52" t="s">
        <v>107</v>
      </c>
      <c r="Q53" s="52" t="s">
        <v>109</v>
      </c>
      <c r="R53" s="52"/>
      <c r="S53" s="52"/>
      <c r="T53" s="52"/>
      <c r="U53" s="52" t="s">
        <v>108</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175</v>
      </c>
      <c r="D54" s="52">
        <v>2.2999999999999998</v>
      </c>
      <c r="E54" s="52" t="s">
        <v>184</v>
      </c>
      <c r="F54" s="52"/>
      <c r="G54" s="52" t="s">
        <v>453</v>
      </c>
      <c r="H54" s="52">
        <v>3</v>
      </c>
      <c r="I54" s="52" t="s">
        <v>455</v>
      </c>
      <c r="J54" s="52" t="s">
        <v>182</v>
      </c>
      <c r="K54" s="52" t="s">
        <v>201</v>
      </c>
      <c r="L54" s="52" t="s">
        <v>331</v>
      </c>
      <c r="M54" s="68"/>
      <c r="N54" s="83"/>
      <c r="O54" s="70" t="str">
        <f t="shared" si="12"/>
        <v/>
      </c>
      <c r="P54" s="52" t="s">
        <v>109</v>
      </c>
      <c r="Q54" s="52" t="s">
        <v>123</v>
      </c>
      <c r="R54" s="52"/>
      <c r="S54" s="52"/>
      <c r="T54" s="52"/>
      <c r="U54" s="52" t="s">
        <v>108</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175</v>
      </c>
      <c r="D55" s="52">
        <v>2.2999999999999998</v>
      </c>
      <c r="E55" s="52" t="s">
        <v>184</v>
      </c>
      <c r="F55" s="52"/>
      <c r="G55" s="52" t="s">
        <v>453</v>
      </c>
      <c r="H55" s="52">
        <v>5</v>
      </c>
      <c r="I55" s="52" t="s">
        <v>262</v>
      </c>
      <c r="J55" s="52" t="s">
        <v>201</v>
      </c>
      <c r="K55" s="52" t="s">
        <v>182</v>
      </c>
      <c r="L55" s="52" t="s">
        <v>331</v>
      </c>
      <c r="M55" s="68"/>
      <c r="N55" s="83"/>
      <c r="O55" s="70" t="str">
        <f t="shared" si="12"/>
        <v/>
      </c>
      <c r="P55" s="52" t="s">
        <v>165</v>
      </c>
      <c r="Q55" s="52" t="s">
        <v>124</v>
      </c>
      <c r="R55" s="52"/>
      <c r="S55" s="52"/>
      <c r="T55" s="52"/>
      <c r="U55" s="52" t="s">
        <v>108</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175</v>
      </c>
      <c r="D56" s="52">
        <v>2.4</v>
      </c>
      <c r="E56" s="52" t="s">
        <v>178</v>
      </c>
      <c r="F56" s="52"/>
      <c r="G56" s="52" t="s">
        <v>202</v>
      </c>
      <c r="H56" s="52"/>
      <c r="I56" s="52"/>
      <c r="J56" s="52" t="s">
        <v>182</v>
      </c>
      <c r="K56" s="52" t="s">
        <v>580</v>
      </c>
      <c r="L56" s="52" t="s">
        <v>331</v>
      </c>
      <c r="M56" s="68"/>
      <c r="N56" s="83"/>
      <c r="O56" s="70" t="str">
        <f t="shared" si="12"/>
        <v/>
      </c>
      <c r="P56" s="52" t="s">
        <v>243</v>
      </c>
      <c r="Q56" s="52" t="s">
        <v>407</v>
      </c>
      <c r="R56" s="52" t="s">
        <v>176</v>
      </c>
      <c r="S56" s="52"/>
      <c r="T56" s="52"/>
      <c r="U56" s="52" t="s">
        <v>98</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175</v>
      </c>
      <c r="D57" s="52">
        <v>2.4</v>
      </c>
      <c r="E57" s="52" t="s">
        <v>178</v>
      </c>
      <c r="F57" s="52"/>
      <c r="G57" s="52" t="s">
        <v>202</v>
      </c>
      <c r="H57" s="52">
        <v>1</v>
      </c>
      <c r="I57" s="55" t="s">
        <v>274</v>
      </c>
      <c r="J57" s="52" t="s">
        <v>182</v>
      </c>
      <c r="K57" s="52" t="s">
        <v>174</v>
      </c>
      <c r="L57" s="52" t="s">
        <v>331</v>
      </c>
      <c r="M57" s="68"/>
      <c r="N57" s="83"/>
      <c r="O57" s="70" t="str">
        <f t="shared" si="12"/>
        <v/>
      </c>
      <c r="P57" s="52" t="s">
        <v>116</v>
      </c>
      <c r="Q57" s="52" t="s">
        <v>118</v>
      </c>
      <c r="R57" s="52"/>
      <c r="S57" s="52"/>
      <c r="T57" s="52"/>
      <c r="U57" s="52" t="s">
        <v>96</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175</v>
      </c>
      <c r="D58" s="56">
        <v>2.4</v>
      </c>
      <c r="E58" s="56" t="s">
        <v>178</v>
      </c>
      <c r="F58" s="56"/>
      <c r="G58" s="52" t="s">
        <v>202</v>
      </c>
      <c r="H58" s="56">
        <v>3</v>
      </c>
      <c r="I58" s="57" t="s">
        <v>210</v>
      </c>
      <c r="J58" s="56" t="s">
        <v>182</v>
      </c>
      <c r="K58" s="56" t="s">
        <v>174</v>
      </c>
      <c r="L58" s="52" t="s">
        <v>331</v>
      </c>
      <c r="M58" s="68"/>
      <c r="N58" s="67"/>
      <c r="O58" s="70" t="str">
        <f t="shared" si="12"/>
        <v/>
      </c>
      <c r="P58" s="56" t="s">
        <v>116</v>
      </c>
      <c r="Q58" s="56" t="s">
        <v>131</v>
      </c>
      <c r="R58" s="56"/>
      <c r="S58" s="56"/>
      <c r="T58" s="56"/>
      <c r="U58" s="56" t="s">
        <v>96</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175</v>
      </c>
      <c r="D59" s="52">
        <v>2.4</v>
      </c>
      <c r="E59" s="52" t="s">
        <v>178</v>
      </c>
      <c r="F59" s="52"/>
      <c r="G59" s="52" t="s">
        <v>202</v>
      </c>
      <c r="H59" s="52">
        <v>4</v>
      </c>
      <c r="I59" s="55" t="s">
        <v>275</v>
      </c>
      <c r="J59" s="52" t="s">
        <v>182</v>
      </c>
      <c r="K59" s="52" t="s">
        <v>174</v>
      </c>
      <c r="L59" s="52" t="s">
        <v>331</v>
      </c>
      <c r="M59" s="68"/>
      <c r="N59" s="83"/>
      <c r="O59" s="70" t="str">
        <f t="shared" si="12"/>
        <v/>
      </c>
      <c r="P59" s="52" t="s">
        <v>116</v>
      </c>
      <c r="Q59" s="52" t="s">
        <v>117</v>
      </c>
      <c r="R59" s="52"/>
      <c r="S59" s="52"/>
      <c r="T59" s="52"/>
      <c r="U59" s="52" t="s">
        <v>96</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175</v>
      </c>
      <c r="D60" s="52">
        <v>2.4</v>
      </c>
      <c r="E60" s="52" t="s">
        <v>178</v>
      </c>
      <c r="F60" s="52"/>
      <c r="G60" s="52" t="s">
        <v>202</v>
      </c>
      <c r="H60" s="52">
        <v>5</v>
      </c>
      <c r="I60" s="55" t="s">
        <v>276</v>
      </c>
      <c r="J60" s="52" t="s">
        <v>182</v>
      </c>
      <c r="K60" s="52" t="s">
        <v>174</v>
      </c>
      <c r="L60" s="52" t="s">
        <v>331</v>
      </c>
      <c r="M60" s="68"/>
      <c r="N60" s="83"/>
      <c r="O60" s="70" t="str">
        <f t="shared" si="12"/>
        <v/>
      </c>
      <c r="P60" s="52" t="s">
        <v>116</v>
      </c>
      <c r="Q60" s="52" t="s">
        <v>277</v>
      </c>
      <c r="R60" s="52"/>
      <c r="S60" s="52"/>
      <c r="T60" s="52"/>
      <c r="U60" s="52" t="s">
        <v>96</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175</v>
      </c>
      <c r="D61" s="52">
        <v>2</v>
      </c>
      <c r="E61" s="52" t="s">
        <v>179</v>
      </c>
      <c r="F61" s="52"/>
      <c r="G61" s="52" t="s">
        <v>202</v>
      </c>
      <c r="H61" s="52"/>
      <c r="I61" s="52"/>
      <c r="J61" s="52" t="s">
        <v>182</v>
      </c>
      <c r="K61" s="52" t="s">
        <v>576</v>
      </c>
      <c r="L61" s="52" t="s">
        <v>331</v>
      </c>
      <c r="M61" s="68"/>
      <c r="N61" s="83"/>
      <c r="O61" s="70" t="str">
        <f t="shared" si="12"/>
        <v/>
      </c>
      <c r="P61" s="52" t="s">
        <v>243</v>
      </c>
      <c r="Q61" s="52" t="s">
        <v>408</v>
      </c>
      <c r="R61" s="52" t="s">
        <v>176</v>
      </c>
      <c r="S61" s="52"/>
      <c r="T61" s="52"/>
      <c r="U61" s="52" t="s">
        <v>98</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175</v>
      </c>
      <c r="D62" s="52">
        <v>2</v>
      </c>
      <c r="E62" s="52" t="s">
        <v>180</v>
      </c>
      <c r="F62" s="52"/>
      <c r="G62" s="52" t="s">
        <v>202</v>
      </c>
      <c r="H62" s="52"/>
      <c r="I62" s="52"/>
      <c r="J62" s="52" t="s">
        <v>182</v>
      </c>
      <c r="K62" s="52" t="s">
        <v>576</v>
      </c>
      <c r="L62" s="52" t="s">
        <v>331</v>
      </c>
      <c r="M62" s="68"/>
      <c r="N62" s="83"/>
      <c r="O62" s="70" t="str">
        <f t="shared" si="12"/>
        <v/>
      </c>
      <c r="P62" s="52" t="s">
        <v>246</v>
      </c>
      <c r="Q62" s="52" t="s">
        <v>409</v>
      </c>
      <c r="R62" s="52" t="s">
        <v>176</v>
      </c>
      <c r="S62" s="52"/>
      <c r="T62" s="52"/>
      <c r="U62" s="52" t="s">
        <v>98</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175</v>
      </c>
      <c r="D63" s="52">
        <v>2</v>
      </c>
      <c r="E63" s="52" t="s">
        <v>181</v>
      </c>
      <c r="F63" s="52"/>
      <c r="G63" s="52" t="s">
        <v>202</v>
      </c>
      <c r="H63" s="52"/>
      <c r="I63" s="52"/>
      <c r="J63" s="52" t="s">
        <v>182</v>
      </c>
      <c r="K63" s="52" t="s">
        <v>581</v>
      </c>
      <c r="L63" s="52" t="s">
        <v>331</v>
      </c>
      <c r="M63" s="68"/>
      <c r="N63" s="83"/>
      <c r="O63" s="70" t="str">
        <f t="shared" si="12"/>
        <v/>
      </c>
      <c r="P63" s="52" t="s">
        <v>247</v>
      </c>
      <c r="Q63" s="52" t="s">
        <v>152</v>
      </c>
      <c r="R63" s="52" t="s">
        <v>176</v>
      </c>
      <c r="S63" s="52"/>
      <c r="T63" s="52"/>
      <c r="U63" s="52" t="s">
        <v>98</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175</v>
      </c>
      <c r="D64" s="52">
        <v>2.7</v>
      </c>
      <c r="E64" s="52" t="s">
        <v>181</v>
      </c>
      <c r="F64" s="52" t="s">
        <v>282</v>
      </c>
      <c r="G64" s="52" t="s">
        <v>202</v>
      </c>
      <c r="H64" s="58">
        <v>1</v>
      </c>
      <c r="I64" s="59" t="s">
        <v>278</v>
      </c>
      <c r="J64" s="52" t="s">
        <v>182</v>
      </c>
      <c r="K64" s="52" t="s">
        <v>576</v>
      </c>
      <c r="L64" s="52" t="s">
        <v>331</v>
      </c>
      <c r="M64" s="68"/>
      <c r="N64" s="83"/>
      <c r="O64" s="70" t="str">
        <f t="shared" si="12"/>
        <v/>
      </c>
      <c r="P64" s="52"/>
      <c r="Q64" s="52" t="s">
        <v>280</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175</v>
      </c>
      <c r="D65" s="52">
        <v>3.1</v>
      </c>
      <c r="E65" s="52" t="s">
        <v>185</v>
      </c>
      <c r="F65" s="52" t="s">
        <v>282</v>
      </c>
      <c r="G65" s="52" t="s">
        <v>202</v>
      </c>
      <c r="H65" s="52"/>
      <c r="I65" s="52"/>
      <c r="J65" s="52" t="s">
        <v>576</v>
      </c>
      <c r="K65" s="52" t="s">
        <v>182</v>
      </c>
      <c r="L65" s="52" t="s">
        <v>331</v>
      </c>
      <c r="M65" s="68"/>
      <c r="N65" s="83"/>
      <c r="O65" s="70" t="str">
        <f t="shared" si="12"/>
        <v/>
      </c>
      <c r="P65" s="52" t="s">
        <v>248</v>
      </c>
      <c r="Q65" s="52" t="s">
        <v>492</v>
      </c>
      <c r="R65" s="52" t="s">
        <v>398</v>
      </c>
      <c r="S65" s="52"/>
      <c r="T65" s="52"/>
      <c r="U65" s="52" t="s">
        <v>98</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175</v>
      </c>
      <c r="D66" s="52">
        <v>3</v>
      </c>
      <c r="E66" s="52" t="s">
        <v>185</v>
      </c>
      <c r="F66" s="52"/>
      <c r="G66" s="52"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175</v>
      </c>
      <c r="D67" s="52">
        <v>3.1</v>
      </c>
      <c r="E67" s="52" t="s">
        <v>185</v>
      </c>
      <c r="F67" s="52" t="s">
        <v>282</v>
      </c>
      <c r="G67" s="52" t="s">
        <v>584</v>
      </c>
      <c r="H67" s="52">
        <v>1</v>
      </c>
      <c r="I67" s="52" t="s">
        <v>471</v>
      </c>
      <c r="J67" s="52" t="s">
        <v>314</v>
      </c>
      <c r="K67" s="52" t="s">
        <v>472</v>
      </c>
      <c r="L67" s="52" t="s">
        <v>331</v>
      </c>
      <c r="M67" s="68"/>
      <c r="N67" s="83"/>
      <c r="O67" s="70" t="str">
        <f t="shared" ref="O67:O72" si="21">IF(N67="No","û",IF(N67="Si","ü",IF(N67="NA","l","")))</f>
        <v/>
      </c>
      <c r="P67" s="52" t="s">
        <v>99</v>
      </c>
      <c r="Q67" s="8" t="s">
        <v>111</v>
      </c>
      <c r="R67" s="52"/>
      <c r="S67" s="52"/>
      <c r="T67" s="52"/>
      <c r="U67" s="52" t="s">
        <v>97</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175</v>
      </c>
      <c r="D68" s="52">
        <v>3.1</v>
      </c>
      <c r="E68" s="52" t="s">
        <v>185</v>
      </c>
      <c r="F68" s="52" t="s">
        <v>282</v>
      </c>
      <c r="G68" s="52" t="s">
        <v>584</v>
      </c>
      <c r="H68" s="52">
        <v>2</v>
      </c>
      <c r="I68" s="52" t="s">
        <v>473</v>
      </c>
      <c r="J68" s="52" t="s">
        <v>314</v>
      </c>
      <c r="K68" s="52" t="s">
        <v>182</v>
      </c>
      <c r="L68" s="52" t="s">
        <v>331</v>
      </c>
      <c r="M68" s="68"/>
      <c r="N68" s="83"/>
      <c r="O68" s="70" t="str">
        <f t="shared" si="21"/>
        <v/>
      </c>
      <c r="P68" s="52" t="s">
        <v>111</v>
      </c>
      <c r="Q68" s="8" t="s">
        <v>126</v>
      </c>
      <c r="R68" s="52"/>
      <c r="S68" s="52"/>
      <c r="T68" s="52"/>
      <c r="U68" s="52" t="s">
        <v>97</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175</v>
      </c>
      <c r="D69" s="52">
        <v>3.1</v>
      </c>
      <c r="E69" s="52" t="s">
        <v>185</v>
      </c>
      <c r="F69" s="52" t="s">
        <v>282</v>
      </c>
      <c r="G69" s="52" t="s">
        <v>584</v>
      </c>
      <c r="H69" s="52">
        <v>3</v>
      </c>
      <c r="I69" s="52" t="s">
        <v>474</v>
      </c>
      <c r="J69" s="52" t="s">
        <v>182</v>
      </c>
      <c r="K69" s="52" t="s">
        <v>314</v>
      </c>
      <c r="L69" s="52" t="s">
        <v>331</v>
      </c>
      <c r="M69" s="68"/>
      <c r="N69" s="83"/>
      <c r="O69" s="70" t="str">
        <f t="shared" si="21"/>
        <v/>
      </c>
      <c r="P69" s="52" t="s">
        <v>126</v>
      </c>
      <c r="Q69" s="8" t="s">
        <v>126</v>
      </c>
      <c r="R69" s="52"/>
      <c r="S69" s="52"/>
      <c r="T69" s="52"/>
      <c r="U69" s="52" t="s">
        <v>97</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175</v>
      </c>
      <c r="D70" s="52">
        <v>3.1</v>
      </c>
      <c r="E70" s="52" t="s">
        <v>185</v>
      </c>
      <c r="F70" s="52" t="s">
        <v>282</v>
      </c>
      <c r="G70" s="52" t="s">
        <v>584</v>
      </c>
      <c r="H70" s="52">
        <v>4</v>
      </c>
      <c r="I70" s="52" t="s">
        <v>475</v>
      </c>
      <c r="J70" s="52" t="s">
        <v>314</v>
      </c>
      <c r="K70" s="52" t="s">
        <v>182</v>
      </c>
      <c r="L70" s="52" t="s">
        <v>331</v>
      </c>
      <c r="M70" s="68"/>
      <c r="N70" s="83"/>
      <c r="O70" s="70" t="str">
        <f t="shared" si="21"/>
        <v/>
      </c>
      <c r="P70" s="52" t="s">
        <v>111</v>
      </c>
      <c r="Q70" s="8" t="s">
        <v>111</v>
      </c>
      <c r="R70" s="52"/>
      <c r="S70" s="52"/>
      <c r="T70" s="52"/>
      <c r="U70" s="52" t="s">
        <v>97</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175</v>
      </c>
      <c r="D71" s="52">
        <v>3.1</v>
      </c>
      <c r="E71" s="52" t="s">
        <v>185</v>
      </c>
      <c r="F71" s="52" t="s">
        <v>282</v>
      </c>
      <c r="G71" s="52" t="s">
        <v>28</v>
      </c>
      <c r="H71" s="56">
        <v>1</v>
      </c>
      <c r="I71" s="56" t="s">
        <v>458</v>
      </c>
      <c r="J71" s="52" t="s">
        <v>314</v>
      </c>
      <c r="K71" s="52" t="s">
        <v>182</v>
      </c>
      <c r="L71" s="52" t="s">
        <v>331</v>
      </c>
      <c r="M71" s="68"/>
      <c r="N71" s="83"/>
      <c r="O71" s="70" t="str">
        <f t="shared" si="21"/>
        <v/>
      </c>
      <c r="P71" s="52" t="s">
        <v>570</v>
      </c>
      <c r="Q71" s="52" t="s">
        <v>572</v>
      </c>
      <c r="R71" s="52" t="s">
        <v>128</v>
      </c>
      <c r="S71" s="52"/>
      <c r="T71" s="52"/>
      <c r="U71" s="52" t="s">
        <v>95</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175</v>
      </c>
      <c r="D72" s="52">
        <v>3.1</v>
      </c>
      <c r="E72" s="52" t="s">
        <v>185</v>
      </c>
      <c r="F72" s="52" t="s">
        <v>282</v>
      </c>
      <c r="G72" s="52" t="s">
        <v>28</v>
      </c>
      <c r="H72" s="56">
        <v>8</v>
      </c>
      <c r="I72" s="56" t="s">
        <v>529</v>
      </c>
      <c r="J72" s="52" t="s">
        <v>388</v>
      </c>
      <c r="K72" s="52" t="s">
        <v>182</v>
      </c>
      <c r="L72" s="52" t="s">
        <v>331</v>
      </c>
      <c r="M72" s="68"/>
      <c r="N72" s="83"/>
      <c r="O72" s="70" t="str">
        <f t="shared" si="21"/>
        <v/>
      </c>
      <c r="P72" s="52" t="s">
        <v>570</v>
      </c>
      <c r="Q72" s="52" t="s">
        <v>127</v>
      </c>
      <c r="R72" s="52" t="s">
        <v>128</v>
      </c>
      <c r="S72" s="52"/>
      <c r="T72" s="52"/>
      <c r="U72" s="52" t="s">
        <v>106</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175</v>
      </c>
      <c r="D73" s="52">
        <v>3.3</v>
      </c>
      <c r="E73" s="52" t="s">
        <v>187</v>
      </c>
      <c r="F73" s="52" t="s">
        <v>282</v>
      </c>
      <c r="G73" s="52"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175</v>
      </c>
      <c r="D74" s="52">
        <v>3.2</v>
      </c>
      <c r="E74" s="52" t="s">
        <v>186</v>
      </c>
      <c r="F74" s="52" t="s">
        <v>282</v>
      </c>
      <c r="G74" s="52" t="s">
        <v>453</v>
      </c>
      <c r="H74" s="52">
        <v>6</v>
      </c>
      <c r="I74" s="52" t="s">
        <v>269</v>
      </c>
      <c r="J74" s="52" t="s">
        <v>182</v>
      </c>
      <c r="K74" s="52" t="s">
        <v>201</v>
      </c>
      <c r="L74" s="52" t="s">
        <v>331</v>
      </c>
      <c r="M74" s="68"/>
      <c r="N74" s="83" t="s">
        <v>220</v>
      </c>
      <c r="O74" s="70" t="str">
        <f t="shared" ref="O74:O95" si="22">IF(N74="No","û",IF(N74="Si","ü",IF(N74="NA","l","")))</f>
        <v>ü</v>
      </c>
      <c r="P74" s="52" t="s">
        <v>328</v>
      </c>
      <c r="Q74" s="52" t="s">
        <v>125</v>
      </c>
      <c r="R74" s="52"/>
      <c r="S74" s="52"/>
      <c r="T74" s="52"/>
      <c r="U74" s="52" t="s">
        <v>108</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175</v>
      </c>
      <c r="D75" s="52">
        <v>3.2</v>
      </c>
      <c r="E75" s="52" t="s">
        <v>186</v>
      </c>
      <c r="F75" s="52" t="s">
        <v>282</v>
      </c>
      <c r="G75" s="52" t="s">
        <v>453</v>
      </c>
      <c r="H75" s="52">
        <v>7</v>
      </c>
      <c r="I75" s="52" t="s">
        <v>270</v>
      </c>
      <c r="J75" s="52" t="s">
        <v>182</v>
      </c>
      <c r="K75" s="52"/>
      <c r="L75" s="52" t="s">
        <v>331</v>
      </c>
      <c r="M75" s="68"/>
      <c r="N75" s="83"/>
      <c r="O75" s="70" t="str">
        <f t="shared" si="22"/>
        <v/>
      </c>
      <c r="P75" s="52" t="s">
        <v>329</v>
      </c>
      <c r="Q75" s="52" t="s">
        <v>267</v>
      </c>
      <c r="R75" s="52"/>
      <c r="S75" s="52"/>
      <c r="T75" s="52"/>
      <c r="U75" s="52" t="s">
        <v>108</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175</v>
      </c>
      <c r="D76" s="52">
        <v>3.3</v>
      </c>
      <c r="E76" s="52" t="s">
        <v>187</v>
      </c>
      <c r="F76" s="52" t="s">
        <v>282</v>
      </c>
      <c r="G76" s="52" t="s">
        <v>202</v>
      </c>
      <c r="H76" s="52"/>
      <c r="I76" s="52"/>
      <c r="J76" s="52" t="s">
        <v>549</v>
      </c>
      <c r="K76" s="52" t="s">
        <v>576</v>
      </c>
      <c r="L76" s="52" t="s">
        <v>331</v>
      </c>
      <c r="M76" s="68"/>
      <c r="N76" s="83"/>
      <c r="O76" s="70" t="str">
        <f t="shared" si="22"/>
        <v/>
      </c>
      <c r="P76" s="52" t="s">
        <v>249</v>
      </c>
      <c r="Q76" s="52" t="s">
        <v>410</v>
      </c>
      <c r="R76" s="52" t="s">
        <v>398</v>
      </c>
      <c r="S76" s="52"/>
      <c r="T76" s="52"/>
      <c r="U76" s="52" t="s">
        <v>98</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175</v>
      </c>
      <c r="D77" s="52">
        <v>3.3</v>
      </c>
      <c r="E77" s="52" t="s">
        <v>187</v>
      </c>
      <c r="F77" s="52" t="s">
        <v>282</v>
      </c>
      <c r="G77" s="52" t="s">
        <v>453</v>
      </c>
      <c r="H77" s="52">
        <v>8</v>
      </c>
      <c r="I77" s="52" t="s">
        <v>271</v>
      </c>
      <c r="J77" s="52" t="s">
        <v>182</v>
      </c>
      <c r="K77" s="52"/>
      <c r="L77" s="52" t="s">
        <v>331</v>
      </c>
      <c r="M77" s="68"/>
      <c r="N77" s="83"/>
      <c r="O77" s="70" t="str">
        <f t="shared" si="22"/>
        <v/>
      </c>
      <c r="P77" s="52" t="s">
        <v>329</v>
      </c>
      <c r="Q77" s="52" t="s">
        <v>110</v>
      </c>
      <c r="R77" s="52"/>
      <c r="S77" s="52"/>
      <c r="T77" s="52"/>
      <c r="U77" s="52" t="s">
        <v>108</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175</v>
      </c>
      <c r="D78" s="52">
        <v>3.3</v>
      </c>
      <c r="E78" s="52" t="s">
        <v>187</v>
      </c>
      <c r="F78" s="52" t="s">
        <v>282</v>
      </c>
      <c r="G78" s="52" t="s">
        <v>28</v>
      </c>
      <c r="H78" s="56">
        <v>5</v>
      </c>
      <c r="I78" s="56" t="s">
        <v>564</v>
      </c>
      <c r="J78" s="52" t="s">
        <v>388</v>
      </c>
      <c r="K78" s="52"/>
      <c r="L78" s="52" t="s">
        <v>331</v>
      </c>
      <c r="M78" s="68"/>
      <c r="N78" s="83"/>
      <c r="O78" s="70" t="str">
        <f t="shared" si="22"/>
        <v/>
      </c>
      <c r="P78" s="52" t="s">
        <v>570</v>
      </c>
      <c r="Q78" s="52" t="s">
        <v>567</v>
      </c>
      <c r="R78" s="52" t="s">
        <v>128</v>
      </c>
      <c r="S78" s="52"/>
      <c r="T78" s="52"/>
      <c r="U78" s="52" t="s">
        <v>95</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175</v>
      </c>
      <c r="D79" s="52">
        <v>4</v>
      </c>
      <c r="E79" s="52" t="s">
        <v>402</v>
      </c>
      <c r="F79" s="52" t="s">
        <v>282</v>
      </c>
      <c r="G79" s="52" t="s">
        <v>202</v>
      </c>
      <c r="H79" s="52"/>
      <c r="I79" s="52"/>
      <c r="J79" s="52" t="s">
        <v>182</v>
      </c>
      <c r="K79" s="52" t="s">
        <v>582</v>
      </c>
      <c r="L79" s="52" t="s">
        <v>331</v>
      </c>
      <c r="M79" s="68"/>
      <c r="N79" s="83"/>
      <c r="O79" s="70" t="str">
        <f t="shared" si="22"/>
        <v/>
      </c>
      <c r="P79" s="52" t="s">
        <v>241</v>
      </c>
      <c r="Q79" s="52" t="s">
        <v>411</v>
      </c>
      <c r="R79" s="52"/>
      <c r="S79" s="52"/>
      <c r="T79" s="52"/>
      <c r="U79" s="52" t="s">
        <v>98</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175</v>
      </c>
      <c r="D80" s="60">
        <v>5</v>
      </c>
      <c r="E80" s="60" t="s">
        <v>403</v>
      </c>
      <c r="F80" s="60" t="s">
        <v>282</v>
      </c>
      <c r="G80" s="52" t="s">
        <v>202</v>
      </c>
      <c r="H80" s="60"/>
      <c r="I80" s="60"/>
      <c r="J80" s="60" t="s">
        <v>182</v>
      </c>
      <c r="K80" s="60" t="s">
        <v>575</v>
      </c>
      <c r="L80" s="60" t="s">
        <v>331</v>
      </c>
      <c r="M80" s="80"/>
      <c r="N80" s="106"/>
      <c r="O80" s="82" t="str">
        <f t="shared" si="22"/>
        <v/>
      </c>
      <c r="P80" s="60" t="s">
        <v>242</v>
      </c>
      <c r="Q80" s="60" t="s">
        <v>412</v>
      </c>
      <c r="R80" s="60"/>
      <c r="S80" s="60"/>
      <c r="T80" s="60"/>
      <c r="U80" s="60" t="s">
        <v>98</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6" t="s">
        <v>505</v>
      </c>
      <c r="C81" s="297"/>
      <c r="D81" s="297"/>
      <c r="E81" s="297"/>
      <c r="F81" s="107"/>
      <c r="G81" s="107"/>
      <c r="H81" s="107"/>
      <c r="I81" s="107"/>
      <c r="J81" s="107"/>
      <c r="K81" s="107"/>
      <c r="L81" s="107"/>
      <c r="M81" s="107"/>
      <c r="N81" s="110" t="s">
        <v>521</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443</v>
      </c>
      <c r="D82" s="73">
        <v>1</v>
      </c>
      <c r="E82" s="73" t="s">
        <v>383</v>
      </c>
      <c r="F82" s="73"/>
      <c r="G82" s="52" t="s">
        <v>202</v>
      </c>
      <c r="H82" s="73"/>
      <c r="I82" s="73"/>
      <c r="J82" s="73" t="s">
        <v>182</v>
      </c>
      <c r="K82" s="73" t="s">
        <v>174</v>
      </c>
      <c r="L82" s="73" t="s">
        <v>331</v>
      </c>
      <c r="M82" s="76"/>
      <c r="N82" s="83"/>
      <c r="O82" s="69" t="str">
        <f t="shared" si="22"/>
        <v/>
      </c>
      <c r="P82" s="73" t="s">
        <v>250</v>
      </c>
      <c r="Q82" s="73" t="s">
        <v>251</v>
      </c>
      <c r="R82" s="73"/>
      <c r="S82" s="73"/>
      <c r="T82" s="73"/>
      <c r="U82" s="73" t="s">
        <v>98</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443</v>
      </c>
      <c r="D83" s="52">
        <v>2</v>
      </c>
      <c r="E83" s="52" t="s">
        <v>413</v>
      </c>
      <c r="F83" s="52"/>
      <c r="G83" s="52" t="s">
        <v>202</v>
      </c>
      <c r="H83" s="52"/>
      <c r="I83" s="52"/>
      <c r="J83" s="52" t="s">
        <v>182</v>
      </c>
      <c r="K83" s="52" t="s">
        <v>174</v>
      </c>
      <c r="L83" s="52" t="s">
        <v>331</v>
      </c>
      <c r="M83" s="68"/>
      <c r="N83" s="83"/>
      <c r="O83" s="70" t="str">
        <f t="shared" si="22"/>
        <v/>
      </c>
      <c r="P83" s="52" t="s">
        <v>385</v>
      </c>
      <c r="Q83" s="52" t="s">
        <v>530</v>
      </c>
      <c r="R83" s="52"/>
      <c r="S83" s="52"/>
      <c r="T83" s="52"/>
      <c r="U83" s="52" t="s">
        <v>98</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443</v>
      </c>
      <c r="D84" s="52"/>
      <c r="E84" s="52" t="s">
        <v>413</v>
      </c>
      <c r="F84" s="52"/>
      <c r="G84" s="52" t="s">
        <v>283</v>
      </c>
      <c r="H84" s="52"/>
      <c r="I84" s="122"/>
      <c r="J84" s="52" t="s">
        <v>182</v>
      </c>
      <c r="K84" s="52" t="s">
        <v>578</v>
      </c>
      <c r="L84" s="52" t="s">
        <v>331</v>
      </c>
      <c r="M84" s="68"/>
      <c r="N84" s="83" t="s">
        <v>220</v>
      </c>
      <c r="O84" s="70" t="str">
        <f t="shared" si="22"/>
        <v>ü</v>
      </c>
      <c r="P84" s="52" t="s">
        <v>531</v>
      </c>
      <c r="Q84" s="52" t="s">
        <v>154</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443</v>
      </c>
      <c r="D85" s="52">
        <v>2</v>
      </c>
      <c r="E85" s="52" t="s">
        <v>413</v>
      </c>
      <c r="F85" s="56" t="s">
        <v>212</v>
      </c>
      <c r="G85" s="52" t="s">
        <v>584</v>
      </c>
      <c r="H85" s="52">
        <v>1</v>
      </c>
      <c r="I85" s="52" t="s">
        <v>471</v>
      </c>
      <c r="J85" s="52" t="s">
        <v>314</v>
      </c>
      <c r="K85" s="52" t="s">
        <v>472</v>
      </c>
      <c r="L85" s="52" t="s">
        <v>331</v>
      </c>
      <c r="M85" s="68"/>
      <c r="N85" s="83"/>
      <c r="O85" s="70" t="str">
        <f t="shared" si="22"/>
        <v/>
      </c>
      <c r="P85" s="52" t="s">
        <v>100</v>
      </c>
      <c r="Q85" s="8" t="s">
        <v>111</v>
      </c>
      <c r="R85" s="52"/>
      <c r="S85" s="52" t="s">
        <v>313</v>
      </c>
      <c r="T85" s="52"/>
      <c r="U85" s="52" t="s">
        <v>97</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443</v>
      </c>
      <c r="D86" s="52">
        <v>2</v>
      </c>
      <c r="E86" s="52" t="s">
        <v>413</v>
      </c>
      <c r="F86" s="56" t="s">
        <v>212</v>
      </c>
      <c r="G86" s="52" t="s">
        <v>584</v>
      </c>
      <c r="H86" s="52">
        <v>2</v>
      </c>
      <c r="I86" s="52" t="s">
        <v>473</v>
      </c>
      <c r="J86" s="52" t="s">
        <v>314</v>
      </c>
      <c r="K86" s="52" t="s">
        <v>182</v>
      </c>
      <c r="L86" s="52" t="s">
        <v>331</v>
      </c>
      <c r="M86" s="68"/>
      <c r="N86" s="83"/>
      <c r="O86" s="70" t="str">
        <f t="shared" si="22"/>
        <v/>
      </c>
      <c r="P86" s="52" t="s">
        <v>111</v>
      </c>
      <c r="Q86" s="8" t="s">
        <v>126</v>
      </c>
      <c r="R86" s="52"/>
      <c r="S86" s="52" t="s">
        <v>313</v>
      </c>
      <c r="T86" s="52"/>
      <c r="U86" s="52" t="s">
        <v>97</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443</v>
      </c>
      <c r="D87" s="52">
        <v>2</v>
      </c>
      <c r="E87" s="52" t="s">
        <v>413</v>
      </c>
      <c r="F87" s="56" t="s">
        <v>212</v>
      </c>
      <c r="G87" s="52" t="s">
        <v>584</v>
      </c>
      <c r="H87" s="52">
        <v>3</v>
      </c>
      <c r="I87" s="52" t="s">
        <v>474</v>
      </c>
      <c r="J87" s="52" t="s">
        <v>182</v>
      </c>
      <c r="K87" s="52" t="s">
        <v>314</v>
      </c>
      <c r="L87" s="52" t="s">
        <v>331</v>
      </c>
      <c r="M87" s="68"/>
      <c r="N87" s="83"/>
      <c r="O87" s="70" t="str">
        <f t="shared" si="22"/>
        <v/>
      </c>
      <c r="P87" s="52" t="s">
        <v>126</v>
      </c>
      <c r="Q87" s="8" t="s">
        <v>126</v>
      </c>
      <c r="R87" s="52"/>
      <c r="S87" s="52" t="s">
        <v>313</v>
      </c>
      <c r="T87" s="52"/>
      <c r="U87" s="52" t="s">
        <v>97</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443</v>
      </c>
      <c r="D88" s="52">
        <v>2</v>
      </c>
      <c r="E88" s="52" t="s">
        <v>413</v>
      </c>
      <c r="F88" s="56" t="s">
        <v>212</v>
      </c>
      <c r="G88" s="52" t="s">
        <v>584</v>
      </c>
      <c r="H88" s="52">
        <v>4</v>
      </c>
      <c r="I88" s="52" t="s">
        <v>475</v>
      </c>
      <c r="J88" s="52" t="s">
        <v>314</v>
      </c>
      <c r="K88" s="52" t="s">
        <v>182</v>
      </c>
      <c r="L88" s="52" t="s">
        <v>331</v>
      </c>
      <c r="M88" s="68"/>
      <c r="N88" s="83"/>
      <c r="O88" s="70" t="str">
        <f t="shared" si="22"/>
        <v/>
      </c>
      <c r="P88" s="60" t="s">
        <v>111</v>
      </c>
      <c r="Q88" s="8" t="s">
        <v>111</v>
      </c>
      <c r="R88" s="52"/>
      <c r="S88" s="52" t="s">
        <v>313</v>
      </c>
      <c r="T88" s="52"/>
      <c r="U88" s="52" t="s">
        <v>97</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443</v>
      </c>
      <c r="D89" s="52">
        <v>2</v>
      </c>
      <c r="E89" s="52" t="s">
        <v>413</v>
      </c>
      <c r="F89" s="56" t="s">
        <v>212</v>
      </c>
      <c r="G89" s="52" t="s">
        <v>28</v>
      </c>
      <c r="H89" s="56">
        <v>1</v>
      </c>
      <c r="I89" s="56" t="s">
        <v>458</v>
      </c>
      <c r="J89" s="52" t="s">
        <v>182</v>
      </c>
      <c r="K89" s="52"/>
      <c r="L89" s="52" t="s">
        <v>331</v>
      </c>
      <c r="M89" s="68"/>
      <c r="N89" s="83"/>
      <c r="O89" s="70" t="str">
        <f t="shared" si="22"/>
        <v/>
      </c>
      <c r="P89" s="52" t="s">
        <v>574</v>
      </c>
      <c r="Q89" s="52" t="s">
        <v>155</v>
      </c>
      <c r="R89" s="52" t="s">
        <v>128</v>
      </c>
      <c r="S89" s="52" t="s">
        <v>313</v>
      </c>
      <c r="T89" s="52"/>
      <c r="U89" s="52" t="s">
        <v>95</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443</v>
      </c>
      <c r="D90" s="52">
        <v>2</v>
      </c>
      <c r="E90" s="52" t="s">
        <v>413</v>
      </c>
      <c r="F90" s="56" t="s">
        <v>212</v>
      </c>
      <c r="G90" s="52" t="s">
        <v>584</v>
      </c>
      <c r="H90" s="52">
        <v>1</v>
      </c>
      <c r="I90" s="52" t="s">
        <v>471</v>
      </c>
      <c r="J90" s="52" t="s">
        <v>314</v>
      </c>
      <c r="K90" s="52"/>
      <c r="L90" s="52" t="s">
        <v>331</v>
      </c>
      <c r="M90" s="68"/>
      <c r="N90" s="83"/>
      <c r="O90" s="70" t="str">
        <f t="shared" si="22"/>
        <v/>
      </c>
      <c r="P90" s="52" t="s">
        <v>101</v>
      </c>
      <c r="Q90" s="8" t="s">
        <v>111</v>
      </c>
      <c r="R90" s="52"/>
      <c r="S90" s="52" t="s">
        <v>313</v>
      </c>
      <c r="T90" s="52"/>
      <c r="U90" s="52" t="s">
        <v>97</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443</v>
      </c>
      <c r="D91" s="52">
        <v>2</v>
      </c>
      <c r="E91" s="52" t="s">
        <v>413</v>
      </c>
      <c r="F91" s="56" t="s">
        <v>212</v>
      </c>
      <c r="G91" s="52" t="s">
        <v>584</v>
      </c>
      <c r="H91" s="52">
        <v>2</v>
      </c>
      <c r="I91" s="52" t="s">
        <v>473</v>
      </c>
      <c r="J91" s="52" t="s">
        <v>314</v>
      </c>
      <c r="K91" s="52" t="s">
        <v>182</v>
      </c>
      <c r="L91" s="52" t="s">
        <v>331</v>
      </c>
      <c r="M91" s="68"/>
      <c r="N91" s="83"/>
      <c r="O91" s="70" t="str">
        <f t="shared" si="22"/>
        <v/>
      </c>
      <c r="P91" s="52" t="s">
        <v>111</v>
      </c>
      <c r="Q91" s="8" t="s">
        <v>126</v>
      </c>
      <c r="R91" s="52"/>
      <c r="S91" s="52" t="s">
        <v>313</v>
      </c>
      <c r="T91" s="52"/>
      <c r="U91" s="52" t="s">
        <v>97</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443</v>
      </c>
      <c r="D92" s="52">
        <v>2</v>
      </c>
      <c r="E92" s="52" t="s">
        <v>413</v>
      </c>
      <c r="F92" s="56" t="s">
        <v>212</v>
      </c>
      <c r="G92" s="52" t="s">
        <v>584</v>
      </c>
      <c r="H92" s="52">
        <v>3</v>
      </c>
      <c r="I92" s="52" t="s">
        <v>474</v>
      </c>
      <c r="J92" s="52" t="s">
        <v>182</v>
      </c>
      <c r="K92" s="52" t="s">
        <v>314</v>
      </c>
      <c r="L92" s="52" t="s">
        <v>331</v>
      </c>
      <c r="M92" s="68"/>
      <c r="N92" s="83"/>
      <c r="O92" s="70" t="str">
        <f t="shared" si="22"/>
        <v/>
      </c>
      <c r="P92" s="52" t="s">
        <v>126</v>
      </c>
      <c r="Q92" s="8" t="s">
        <v>126</v>
      </c>
      <c r="R92" s="52"/>
      <c r="S92" s="52" t="s">
        <v>313</v>
      </c>
      <c r="T92" s="52"/>
      <c r="U92" s="52" t="s">
        <v>97</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443</v>
      </c>
      <c r="D93" s="52">
        <v>2</v>
      </c>
      <c r="E93" s="52" t="s">
        <v>413</v>
      </c>
      <c r="F93" s="56" t="s">
        <v>212</v>
      </c>
      <c r="G93" s="52" t="s">
        <v>584</v>
      </c>
      <c r="H93" s="52">
        <v>4</v>
      </c>
      <c r="I93" s="52" t="s">
        <v>475</v>
      </c>
      <c r="J93" s="52" t="s">
        <v>314</v>
      </c>
      <c r="K93" s="52" t="s">
        <v>182</v>
      </c>
      <c r="L93" s="52" t="s">
        <v>331</v>
      </c>
      <c r="M93" s="68"/>
      <c r="N93" s="83"/>
      <c r="O93" s="70" t="str">
        <f t="shared" si="22"/>
        <v/>
      </c>
      <c r="P93" s="52" t="s">
        <v>111</v>
      </c>
      <c r="Q93" s="8" t="s">
        <v>111</v>
      </c>
      <c r="R93" s="52"/>
      <c r="S93" s="52" t="s">
        <v>313</v>
      </c>
      <c r="T93" s="52"/>
      <c r="U93" s="52" t="s">
        <v>97</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443</v>
      </c>
      <c r="D94" s="52">
        <v>2</v>
      </c>
      <c r="E94" s="52" t="s">
        <v>413</v>
      </c>
      <c r="F94" s="56" t="s">
        <v>212</v>
      </c>
      <c r="G94" s="56" t="s">
        <v>459</v>
      </c>
      <c r="H94" s="56">
        <v>2</v>
      </c>
      <c r="I94" s="56" t="s">
        <v>458</v>
      </c>
      <c r="J94" s="52" t="s">
        <v>314</v>
      </c>
      <c r="K94" s="52"/>
      <c r="L94" s="52" t="s">
        <v>331</v>
      </c>
      <c r="M94" s="68"/>
      <c r="N94" s="83"/>
      <c r="O94" s="70" t="str">
        <f t="shared" si="22"/>
        <v/>
      </c>
      <c r="P94" s="52" t="s">
        <v>156</v>
      </c>
      <c r="Q94" s="52" t="s">
        <v>155</v>
      </c>
      <c r="R94" s="52" t="s">
        <v>128</v>
      </c>
      <c r="S94" s="52" t="s">
        <v>313</v>
      </c>
      <c r="T94" s="52"/>
      <c r="U94" s="52" t="s">
        <v>95</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443</v>
      </c>
      <c r="D95" s="52">
        <v>2</v>
      </c>
      <c r="E95" s="52" t="s">
        <v>413</v>
      </c>
      <c r="F95" s="56" t="s">
        <v>212</v>
      </c>
      <c r="G95" s="56" t="s">
        <v>459</v>
      </c>
      <c r="H95" s="56">
        <v>8</v>
      </c>
      <c r="I95" s="56" t="s">
        <v>529</v>
      </c>
      <c r="J95" s="52" t="s">
        <v>388</v>
      </c>
      <c r="K95" s="52" t="s">
        <v>314</v>
      </c>
      <c r="L95" s="52" t="s">
        <v>331</v>
      </c>
      <c r="M95" s="68"/>
      <c r="N95" s="83"/>
      <c r="O95" s="70" t="str">
        <f t="shared" si="22"/>
        <v/>
      </c>
      <c r="P95" s="52" t="s">
        <v>156</v>
      </c>
      <c r="Q95" s="52" t="s">
        <v>127</v>
      </c>
      <c r="R95" s="52" t="s">
        <v>128</v>
      </c>
      <c r="S95" s="52" t="s">
        <v>313</v>
      </c>
      <c r="T95" s="52"/>
      <c r="U95" s="52" t="s">
        <v>106</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443</v>
      </c>
      <c r="D96" s="52">
        <v>3.3</v>
      </c>
      <c r="E96" s="52" t="s">
        <v>187</v>
      </c>
      <c r="F96" s="52" t="s">
        <v>282</v>
      </c>
      <c r="G96" s="52"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443</v>
      </c>
      <c r="D97" s="52">
        <v>2</v>
      </c>
      <c r="E97" s="52" t="s">
        <v>413</v>
      </c>
      <c r="F97" s="56" t="s">
        <v>212</v>
      </c>
      <c r="G97" s="56" t="s">
        <v>459</v>
      </c>
      <c r="H97" s="56">
        <v>6</v>
      </c>
      <c r="I97" s="56" t="s">
        <v>564</v>
      </c>
      <c r="J97" s="52" t="s">
        <v>388</v>
      </c>
      <c r="K97" s="52"/>
      <c r="L97" s="52" t="s">
        <v>331</v>
      </c>
      <c r="M97" s="68"/>
      <c r="N97" s="83"/>
      <c r="O97" s="70" t="str">
        <f t="shared" ref="O97:O109" si="30">IF(N97="No","û",IF(N97="Si","ü",IF(N97="NA","l","")))</f>
        <v/>
      </c>
      <c r="P97" s="52" t="s">
        <v>157</v>
      </c>
      <c r="Q97" s="52" t="s">
        <v>567</v>
      </c>
      <c r="R97" s="52" t="s">
        <v>128</v>
      </c>
      <c r="S97" s="52" t="s">
        <v>313</v>
      </c>
      <c r="T97" s="52"/>
      <c r="U97" s="52" t="s">
        <v>95</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443</v>
      </c>
      <c r="D98" s="52">
        <v>2</v>
      </c>
      <c r="E98" s="52" t="s">
        <v>413</v>
      </c>
      <c r="F98" s="56" t="s">
        <v>212</v>
      </c>
      <c r="G98" s="58" t="s">
        <v>273</v>
      </c>
      <c r="H98" s="58">
        <v>1</v>
      </c>
      <c r="I98" s="59" t="s">
        <v>279</v>
      </c>
      <c r="J98" s="52" t="s">
        <v>182</v>
      </c>
      <c r="K98" s="52" t="s">
        <v>174</v>
      </c>
      <c r="L98" s="52" t="s">
        <v>331</v>
      </c>
      <c r="M98" s="68"/>
      <c r="N98" s="83"/>
      <c r="O98" s="70" t="str">
        <f t="shared" si="30"/>
        <v/>
      </c>
      <c r="P98" s="52" t="s">
        <v>532</v>
      </c>
      <c r="Q98" s="52" t="s">
        <v>281</v>
      </c>
      <c r="R98" s="52"/>
      <c r="S98" s="52" t="s">
        <v>313</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443</v>
      </c>
      <c r="D99" s="52">
        <v>2</v>
      </c>
      <c r="E99" s="52" t="s">
        <v>413</v>
      </c>
      <c r="F99" s="56" t="s">
        <v>212</v>
      </c>
      <c r="G99" s="52" t="s">
        <v>273</v>
      </c>
      <c r="H99" s="52">
        <v>1</v>
      </c>
      <c r="I99" s="55" t="s">
        <v>274</v>
      </c>
      <c r="J99" s="52" t="s">
        <v>182</v>
      </c>
      <c r="K99" s="52" t="s">
        <v>174</v>
      </c>
      <c r="L99" s="52" t="s">
        <v>331</v>
      </c>
      <c r="M99" s="68"/>
      <c r="N99" s="83"/>
      <c r="O99" s="70" t="str">
        <f t="shared" si="30"/>
        <v/>
      </c>
      <c r="P99" s="52" t="s">
        <v>116</v>
      </c>
      <c r="Q99" s="52" t="s">
        <v>119</v>
      </c>
      <c r="R99" s="52"/>
      <c r="S99" s="52" t="s">
        <v>313</v>
      </c>
      <c r="T99" s="52"/>
      <c r="U99" s="52" t="s">
        <v>96</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443</v>
      </c>
      <c r="D100" s="56">
        <v>2.4</v>
      </c>
      <c r="E100" s="56" t="s">
        <v>178</v>
      </c>
      <c r="F100" s="56"/>
      <c r="G100" s="56" t="s">
        <v>273</v>
      </c>
      <c r="H100" s="56">
        <v>3</v>
      </c>
      <c r="I100" s="57" t="s">
        <v>210</v>
      </c>
      <c r="J100" s="56" t="s">
        <v>182</v>
      </c>
      <c r="K100" s="56" t="s">
        <v>174</v>
      </c>
      <c r="L100" s="52" t="s">
        <v>331</v>
      </c>
      <c r="M100" s="68"/>
      <c r="N100" s="67"/>
      <c r="O100" s="70" t="str">
        <f t="shared" si="30"/>
        <v/>
      </c>
      <c r="P100" s="56" t="s">
        <v>116</v>
      </c>
      <c r="Q100" s="56" t="s">
        <v>131</v>
      </c>
      <c r="R100" s="56"/>
      <c r="S100" s="56"/>
      <c r="T100" s="56"/>
      <c r="U100" s="56" t="s">
        <v>96</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443</v>
      </c>
      <c r="D101" s="52">
        <v>2</v>
      </c>
      <c r="E101" s="52" t="s">
        <v>413</v>
      </c>
      <c r="F101" s="56" t="s">
        <v>212</v>
      </c>
      <c r="G101" s="52" t="s">
        <v>273</v>
      </c>
      <c r="H101" s="52">
        <v>4</v>
      </c>
      <c r="I101" s="55" t="s">
        <v>275</v>
      </c>
      <c r="J101" s="52" t="s">
        <v>182</v>
      </c>
      <c r="K101" s="52" t="s">
        <v>174</v>
      </c>
      <c r="L101" s="52" t="s">
        <v>331</v>
      </c>
      <c r="M101" s="68"/>
      <c r="N101" s="83"/>
      <c r="O101" s="70" t="str">
        <f t="shared" si="30"/>
        <v/>
      </c>
      <c r="P101" s="52" t="s">
        <v>116</v>
      </c>
      <c r="Q101" s="52" t="s">
        <v>117</v>
      </c>
      <c r="R101" s="52"/>
      <c r="S101" s="52" t="s">
        <v>313</v>
      </c>
      <c r="T101" s="52"/>
      <c r="U101" s="52" t="s">
        <v>96</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443</v>
      </c>
      <c r="D102" s="52">
        <v>2</v>
      </c>
      <c r="E102" s="52" t="s">
        <v>413</v>
      </c>
      <c r="F102" s="56" t="s">
        <v>212</v>
      </c>
      <c r="G102" s="52" t="s">
        <v>273</v>
      </c>
      <c r="H102" s="52">
        <v>5</v>
      </c>
      <c r="I102" s="55" t="s">
        <v>276</v>
      </c>
      <c r="J102" s="52" t="s">
        <v>182</v>
      </c>
      <c r="K102" s="52" t="s">
        <v>174</v>
      </c>
      <c r="L102" s="52" t="s">
        <v>331</v>
      </c>
      <c r="M102" s="68"/>
      <c r="N102" s="83"/>
      <c r="O102" s="70" t="str">
        <f t="shared" si="30"/>
        <v/>
      </c>
      <c r="P102" s="52" t="s">
        <v>116</v>
      </c>
      <c r="Q102" s="52" t="s">
        <v>277</v>
      </c>
      <c r="R102" s="52"/>
      <c r="S102" s="52" t="s">
        <v>313</v>
      </c>
      <c r="T102" s="52"/>
      <c r="U102" s="52" t="s">
        <v>96</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443</v>
      </c>
      <c r="D103" s="52">
        <v>2</v>
      </c>
      <c r="E103" s="52" t="s">
        <v>413</v>
      </c>
      <c r="F103" s="56" t="s">
        <v>213</v>
      </c>
      <c r="G103" s="56" t="s">
        <v>459</v>
      </c>
      <c r="H103" s="56">
        <v>1</v>
      </c>
      <c r="I103" s="56" t="s">
        <v>458</v>
      </c>
      <c r="J103" s="52" t="s">
        <v>182</v>
      </c>
      <c r="K103" s="52"/>
      <c r="L103" s="52" t="s">
        <v>331</v>
      </c>
      <c r="M103" s="68"/>
      <c r="N103" s="83"/>
      <c r="O103" s="70" t="str">
        <f t="shared" si="30"/>
        <v/>
      </c>
      <c r="P103" s="52" t="s">
        <v>159</v>
      </c>
      <c r="Q103" s="52" t="s">
        <v>155</v>
      </c>
      <c r="R103" s="52" t="s">
        <v>128</v>
      </c>
      <c r="S103" s="52" t="s">
        <v>477</v>
      </c>
      <c r="T103" s="52"/>
      <c r="U103" s="52" t="s">
        <v>95</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443</v>
      </c>
      <c r="D104" s="52">
        <v>2</v>
      </c>
      <c r="E104" s="52" t="s">
        <v>413</v>
      </c>
      <c r="F104" s="56" t="s">
        <v>212</v>
      </c>
      <c r="G104" s="52" t="s">
        <v>470</v>
      </c>
      <c r="H104" s="52">
        <v>1</v>
      </c>
      <c r="I104" s="52" t="s">
        <v>471</v>
      </c>
      <c r="J104" s="52" t="s">
        <v>314</v>
      </c>
      <c r="K104" s="52"/>
      <c r="L104" s="52" t="s">
        <v>331</v>
      </c>
      <c r="M104" s="68"/>
      <c r="N104" s="83"/>
      <c r="O104" s="70" t="str">
        <f t="shared" si="30"/>
        <v/>
      </c>
      <c r="P104" s="52" t="s">
        <v>102</v>
      </c>
      <c r="Q104" s="8" t="s">
        <v>111</v>
      </c>
      <c r="R104" s="52"/>
      <c r="S104" s="52" t="s">
        <v>477</v>
      </c>
      <c r="T104" s="52"/>
      <c r="U104" s="52" t="s">
        <v>97</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443</v>
      </c>
      <c r="D105" s="52">
        <v>2</v>
      </c>
      <c r="E105" s="52" t="s">
        <v>413</v>
      </c>
      <c r="F105" s="56" t="s">
        <v>212</v>
      </c>
      <c r="G105" s="52" t="s">
        <v>470</v>
      </c>
      <c r="H105" s="52">
        <v>2</v>
      </c>
      <c r="I105" s="52" t="s">
        <v>473</v>
      </c>
      <c r="J105" s="52" t="s">
        <v>314</v>
      </c>
      <c r="K105" s="52" t="s">
        <v>182</v>
      </c>
      <c r="L105" s="52" t="s">
        <v>331</v>
      </c>
      <c r="M105" s="68"/>
      <c r="N105" s="83"/>
      <c r="O105" s="70" t="str">
        <f t="shared" si="30"/>
        <v/>
      </c>
      <c r="P105" s="52" t="s">
        <v>111</v>
      </c>
      <c r="Q105" s="8" t="s">
        <v>126</v>
      </c>
      <c r="R105" s="52"/>
      <c r="S105" s="52" t="s">
        <v>477</v>
      </c>
      <c r="T105" s="52"/>
      <c r="U105" s="52" t="s">
        <v>97</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443</v>
      </c>
      <c r="D106" s="52">
        <v>2</v>
      </c>
      <c r="E106" s="52" t="s">
        <v>413</v>
      </c>
      <c r="F106" s="56" t="s">
        <v>212</v>
      </c>
      <c r="G106" s="52" t="s">
        <v>470</v>
      </c>
      <c r="H106" s="52">
        <v>3</v>
      </c>
      <c r="I106" s="52" t="s">
        <v>474</v>
      </c>
      <c r="J106" s="52" t="s">
        <v>182</v>
      </c>
      <c r="K106" s="52" t="s">
        <v>314</v>
      </c>
      <c r="L106" s="52" t="s">
        <v>331</v>
      </c>
      <c r="M106" s="68"/>
      <c r="N106" s="83"/>
      <c r="O106" s="70" t="str">
        <f t="shared" si="30"/>
        <v/>
      </c>
      <c r="P106" s="52" t="s">
        <v>126</v>
      </c>
      <c r="Q106" s="8" t="s">
        <v>126</v>
      </c>
      <c r="R106" s="52"/>
      <c r="S106" s="52" t="s">
        <v>477</v>
      </c>
      <c r="T106" s="52"/>
      <c r="U106" s="52" t="s">
        <v>97</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443</v>
      </c>
      <c r="D107" s="52">
        <v>2</v>
      </c>
      <c r="E107" s="52" t="s">
        <v>413</v>
      </c>
      <c r="F107" s="56" t="s">
        <v>212</v>
      </c>
      <c r="G107" s="52" t="s">
        <v>470</v>
      </c>
      <c r="H107" s="52">
        <v>4</v>
      </c>
      <c r="I107" s="52" t="s">
        <v>475</v>
      </c>
      <c r="J107" s="52" t="s">
        <v>314</v>
      </c>
      <c r="K107" s="52" t="s">
        <v>182</v>
      </c>
      <c r="L107" s="52" t="s">
        <v>331</v>
      </c>
      <c r="M107" s="68"/>
      <c r="N107" s="83"/>
      <c r="O107" s="70" t="str">
        <f t="shared" si="30"/>
        <v/>
      </c>
      <c r="P107" s="52" t="s">
        <v>111</v>
      </c>
      <c r="Q107" s="8" t="s">
        <v>111</v>
      </c>
      <c r="R107" s="52"/>
      <c r="S107" s="52" t="s">
        <v>477</v>
      </c>
      <c r="T107" s="52"/>
      <c r="U107" s="52" t="s">
        <v>97</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443</v>
      </c>
      <c r="D108" s="52">
        <v>2</v>
      </c>
      <c r="E108" s="52" t="s">
        <v>413</v>
      </c>
      <c r="F108" s="56" t="s">
        <v>213</v>
      </c>
      <c r="G108" s="56" t="s">
        <v>459</v>
      </c>
      <c r="H108" s="56">
        <v>2</v>
      </c>
      <c r="I108" s="56" t="s">
        <v>458</v>
      </c>
      <c r="J108" s="52" t="s">
        <v>314</v>
      </c>
      <c r="K108" s="52"/>
      <c r="L108" s="52" t="s">
        <v>331</v>
      </c>
      <c r="M108" s="68"/>
      <c r="N108" s="83"/>
      <c r="O108" s="70" t="str">
        <f t="shared" si="30"/>
        <v/>
      </c>
      <c r="P108" s="52" t="s">
        <v>159</v>
      </c>
      <c r="Q108" s="52" t="s">
        <v>160</v>
      </c>
      <c r="R108" s="52" t="s">
        <v>128</v>
      </c>
      <c r="S108" s="52" t="s">
        <v>477</v>
      </c>
      <c r="T108" s="52"/>
      <c r="U108" s="52" t="s">
        <v>95</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443</v>
      </c>
      <c r="D109" s="52">
        <v>2</v>
      </c>
      <c r="E109" s="52" t="s">
        <v>413</v>
      </c>
      <c r="F109" s="56" t="s">
        <v>213</v>
      </c>
      <c r="G109" s="56" t="s">
        <v>459</v>
      </c>
      <c r="H109" s="56">
        <v>8</v>
      </c>
      <c r="I109" s="56" t="s">
        <v>529</v>
      </c>
      <c r="J109" s="52" t="s">
        <v>388</v>
      </c>
      <c r="K109" s="52"/>
      <c r="L109" s="52" t="s">
        <v>331</v>
      </c>
      <c r="M109" s="68"/>
      <c r="N109" s="83"/>
      <c r="O109" s="70" t="str">
        <f t="shared" si="30"/>
        <v/>
      </c>
      <c r="P109" s="52" t="s">
        <v>159</v>
      </c>
      <c r="Q109" s="52" t="s">
        <v>127</v>
      </c>
      <c r="R109" s="52"/>
      <c r="S109" s="52" t="s">
        <v>477</v>
      </c>
      <c r="T109" s="52"/>
      <c r="U109" s="52" t="s">
        <v>106</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443</v>
      </c>
      <c r="D110" s="52">
        <v>2</v>
      </c>
      <c r="E110" s="52" t="s">
        <v>413</v>
      </c>
      <c r="F110" s="52" t="s">
        <v>282</v>
      </c>
      <c r="G110" s="52"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443</v>
      </c>
      <c r="D111" s="52">
        <v>2</v>
      </c>
      <c r="E111" s="52" t="s">
        <v>413</v>
      </c>
      <c r="F111" s="56" t="s">
        <v>213</v>
      </c>
      <c r="G111" s="56" t="s">
        <v>459</v>
      </c>
      <c r="H111" s="56">
        <v>5</v>
      </c>
      <c r="I111" s="56" t="s">
        <v>564</v>
      </c>
      <c r="J111" s="52" t="s">
        <v>388</v>
      </c>
      <c r="K111" s="52"/>
      <c r="L111" s="52" t="s">
        <v>331</v>
      </c>
      <c r="M111" s="68"/>
      <c r="N111" s="83"/>
      <c r="O111" s="70" t="str">
        <f t="shared" ref="O111:O118" si="31">IF(N111="No","û",IF(N111="Si","ü",IF(N111="NA","l","")))</f>
        <v/>
      </c>
      <c r="P111" s="52" t="s">
        <v>159</v>
      </c>
      <c r="Q111" s="52" t="s">
        <v>567</v>
      </c>
      <c r="R111" s="52" t="s">
        <v>128</v>
      </c>
      <c r="S111" s="52" t="s">
        <v>477</v>
      </c>
      <c r="T111" s="52"/>
      <c r="U111" s="52" t="s">
        <v>95</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443</v>
      </c>
      <c r="D112" s="52">
        <v>2</v>
      </c>
      <c r="E112" s="52" t="s">
        <v>413</v>
      </c>
      <c r="F112" s="56" t="s">
        <v>213</v>
      </c>
      <c r="G112" s="56" t="s">
        <v>459</v>
      </c>
      <c r="H112" s="56">
        <v>1</v>
      </c>
      <c r="I112" s="56" t="s">
        <v>458</v>
      </c>
      <c r="J112" s="52" t="s">
        <v>182</v>
      </c>
      <c r="K112" s="52"/>
      <c r="L112" s="52" t="s">
        <v>331</v>
      </c>
      <c r="M112" s="68"/>
      <c r="N112" s="83"/>
      <c r="O112" s="70" t="str">
        <f t="shared" si="31"/>
        <v/>
      </c>
      <c r="P112" s="52" t="s">
        <v>161</v>
      </c>
      <c r="Q112" s="52" t="s">
        <v>155</v>
      </c>
      <c r="R112" s="52" t="s">
        <v>128</v>
      </c>
      <c r="S112" s="52" t="s">
        <v>552</v>
      </c>
      <c r="T112" s="52"/>
      <c r="U112" s="52" t="s">
        <v>95</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443</v>
      </c>
      <c r="D113" s="52">
        <v>2</v>
      </c>
      <c r="E113" s="52" t="s">
        <v>413</v>
      </c>
      <c r="F113" s="56" t="s">
        <v>214</v>
      </c>
      <c r="G113" s="52" t="s">
        <v>470</v>
      </c>
      <c r="H113" s="52">
        <v>1</v>
      </c>
      <c r="I113" s="52" t="s">
        <v>471</v>
      </c>
      <c r="J113" s="52" t="s">
        <v>314</v>
      </c>
      <c r="K113" s="52"/>
      <c r="L113" s="52" t="s">
        <v>331</v>
      </c>
      <c r="M113" s="68"/>
      <c r="N113" s="83"/>
      <c r="O113" s="70" t="str">
        <f t="shared" si="31"/>
        <v/>
      </c>
      <c r="P113" s="52" t="s">
        <v>105</v>
      </c>
      <c r="Q113" s="8" t="s">
        <v>111</v>
      </c>
      <c r="R113" s="52"/>
      <c r="S113" s="52" t="s">
        <v>552</v>
      </c>
      <c r="T113" s="52"/>
      <c r="U113" s="52" t="s">
        <v>97</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443</v>
      </c>
      <c r="D114" s="52">
        <v>2</v>
      </c>
      <c r="E114" s="52" t="s">
        <v>413</v>
      </c>
      <c r="F114" s="56" t="s">
        <v>214</v>
      </c>
      <c r="G114" s="52" t="s">
        <v>470</v>
      </c>
      <c r="H114" s="52">
        <v>2</v>
      </c>
      <c r="I114" s="52" t="s">
        <v>473</v>
      </c>
      <c r="J114" s="52" t="s">
        <v>314</v>
      </c>
      <c r="K114" s="52" t="s">
        <v>182</v>
      </c>
      <c r="L114" s="52" t="s">
        <v>331</v>
      </c>
      <c r="M114" s="68"/>
      <c r="N114" s="83"/>
      <c r="O114" s="70" t="str">
        <f t="shared" si="31"/>
        <v/>
      </c>
      <c r="P114" s="52" t="s">
        <v>111</v>
      </c>
      <c r="Q114" s="8" t="s">
        <v>126</v>
      </c>
      <c r="R114" s="52"/>
      <c r="S114" s="52" t="s">
        <v>552</v>
      </c>
      <c r="T114" s="52"/>
      <c r="U114" s="52" t="s">
        <v>97</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443</v>
      </c>
      <c r="D115" s="52">
        <v>2</v>
      </c>
      <c r="E115" s="52" t="s">
        <v>413</v>
      </c>
      <c r="F115" s="56" t="s">
        <v>214</v>
      </c>
      <c r="G115" s="52" t="s">
        <v>470</v>
      </c>
      <c r="H115" s="52">
        <v>3</v>
      </c>
      <c r="I115" s="52" t="s">
        <v>474</v>
      </c>
      <c r="J115" s="52" t="s">
        <v>182</v>
      </c>
      <c r="K115" s="52" t="s">
        <v>314</v>
      </c>
      <c r="L115" s="52" t="s">
        <v>331</v>
      </c>
      <c r="M115" s="68"/>
      <c r="N115" s="83"/>
      <c r="O115" s="70" t="str">
        <f t="shared" si="31"/>
        <v/>
      </c>
      <c r="P115" s="52" t="s">
        <v>126</v>
      </c>
      <c r="Q115" s="8" t="s">
        <v>126</v>
      </c>
      <c r="R115" s="52"/>
      <c r="S115" s="52" t="s">
        <v>552</v>
      </c>
      <c r="T115" s="52"/>
      <c r="U115" s="52" t="s">
        <v>97</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443</v>
      </c>
      <c r="D116" s="52">
        <v>2</v>
      </c>
      <c r="E116" s="52" t="s">
        <v>413</v>
      </c>
      <c r="F116" s="56" t="s">
        <v>214</v>
      </c>
      <c r="G116" s="52" t="s">
        <v>470</v>
      </c>
      <c r="H116" s="52">
        <v>4</v>
      </c>
      <c r="I116" s="52" t="s">
        <v>475</v>
      </c>
      <c r="J116" s="52" t="s">
        <v>314</v>
      </c>
      <c r="K116" s="52" t="s">
        <v>182</v>
      </c>
      <c r="L116" s="52" t="s">
        <v>331</v>
      </c>
      <c r="M116" s="68"/>
      <c r="N116" s="83"/>
      <c r="O116" s="70" t="str">
        <f t="shared" si="31"/>
        <v/>
      </c>
      <c r="P116" s="52" t="s">
        <v>111</v>
      </c>
      <c r="Q116" s="8" t="s">
        <v>111</v>
      </c>
      <c r="R116" s="52"/>
      <c r="S116" s="52" t="s">
        <v>552</v>
      </c>
      <c r="T116" s="52"/>
      <c r="U116" s="52" t="s">
        <v>97</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443</v>
      </c>
      <c r="D117" s="52">
        <v>2</v>
      </c>
      <c r="E117" s="52" t="s">
        <v>413</v>
      </c>
      <c r="F117" s="56" t="s">
        <v>214</v>
      </c>
      <c r="G117" s="56" t="s">
        <v>459</v>
      </c>
      <c r="H117" s="56">
        <v>2</v>
      </c>
      <c r="I117" s="56" t="s">
        <v>458</v>
      </c>
      <c r="J117" s="52" t="s">
        <v>314</v>
      </c>
      <c r="K117" s="52"/>
      <c r="L117" s="52" t="s">
        <v>331</v>
      </c>
      <c r="M117" s="68"/>
      <c r="N117" s="83"/>
      <c r="O117" s="70" t="str">
        <f t="shared" si="31"/>
        <v/>
      </c>
      <c r="P117" s="52" t="s">
        <v>161</v>
      </c>
      <c r="Q117" s="52" t="s">
        <v>160</v>
      </c>
      <c r="R117" s="52" t="s">
        <v>128</v>
      </c>
      <c r="S117" s="52" t="s">
        <v>552</v>
      </c>
      <c r="T117" s="52"/>
      <c r="U117" s="52" t="s">
        <v>129</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443</v>
      </c>
      <c r="D118" s="52">
        <v>2</v>
      </c>
      <c r="E118" s="52" t="s">
        <v>413</v>
      </c>
      <c r="F118" s="56" t="s">
        <v>214</v>
      </c>
      <c r="G118" s="56" t="s">
        <v>459</v>
      </c>
      <c r="H118" s="56">
        <v>8</v>
      </c>
      <c r="I118" s="56" t="s">
        <v>460</v>
      </c>
      <c r="J118" s="52" t="s">
        <v>388</v>
      </c>
      <c r="K118" s="52"/>
      <c r="L118" s="52" t="s">
        <v>331</v>
      </c>
      <c r="M118" s="68"/>
      <c r="N118" s="83"/>
      <c r="O118" s="70" t="str">
        <f t="shared" si="31"/>
        <v/>
      </c>
      <c r="P118" s="52" t="s">
        <v>161</v>
      </c>
      <c r="Q118" s="52" t="s">
        <v>127</v>
      </c>
      <c r="R118" s="52"/>
      <c r="S118" s="52" t="s">
        <v>552</v>
      </c>
      <c r="T118" s="52"/>
      <c r="U118" s="52" t="s">
        <v>106</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443</v>
      </c>
      <c r="D119" s="52">
        <v>2</v>
      </c>
      <c r="E119" s="52" t="s">
        <v>413</v>
      </c>
      <c r="F119" s="52" t="s">
        <v>282</v>
      </c>
      <c r="G119" s="52"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443</v>
      </c>
      <c r="D120" s="52">
        <v>2</v>
      </c>
      <c r="E120" s="52" t="s">
        <v>413</v>
      </c>
      <c r="F120" s="56" t="s">
        <v>214</v>
      </c>
      <c r="G120" s="56" t="s">
        <v>459</v>
      </c>
      <c r="H120" s="56">
        <v>6</v>
      </c>
      <c r="I120" s="56" t="s">
        <v>564</v>
      </c>
      <c r="J120" s="52" t="s">
        <v>388</v>
      </c>
      <c r="K120" s="52"/>
      <c r="L120" s="52" t="s">
        <v>331</v>
      </c>
      <c r="M120" s="68"/>
      <c r="N120" s="83"/>
      <c r="O120" s="70" t="str">
        <f t="shared" ref="O120:O132" si="39">IF(N120="No","û",IF(N120="Si","ü",IF(N120="NA","l","")))</f>
        <v/>
      </c>
      <c r="P120" s="52" t="s">
        <v>159</v>
      </c>
      <c r="Q120" s="52" t="s">
        <v>162</v>
      </c>
      <c r="R120" s="52" t="s">
        <v>128</v>
      </c>
      <c r="S120" s="52" t="s">
        <v>552</v>
      </c>
      <c r="T120" s="52"/>
      <c r="U120" s="52" t="s">
        <v>95</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443</v>
      </c>
      <c r="D121" s="52">
        <v>2</v>
      </c>
      <c r="E121" s="52" t="s">
        <v>413</v>
      </c>
      <c r="F121" s="56" t="s">
        <v>215</v>
      </c>
      <c r="G121" s="58" t="s">
        <v>273</v>
      </c>
      <c r="H121" s="58">
        <v>1</v>
      </c>
      <c r="I121" s="59" t="s">
        <v>279</v>
      </c>
      <c r="J121" s="52" t="s">
        <v>182</v>
      </c>
      <c r="K121" s="52" t="s">
        <v>174</v>
      </c>
      <c r="L121" s="52" t="s">
        <v>331</v>
      </c>
      <c r="M121" s="68"/>
      <c r="N121" s="83"/>
      <c r="O121" s="70" t="str">
        <f t="shared" si="39"/>
        <v/>
      </c>
      <c r="P121" s="52" t="s">
        <v>553</v>
      </c>
      <c r="Q121" s="52" t="s">
        <v>281</v>
      </c>
      <c r="R121" s="52"/>
      <c r="S121" s="52" t="s">
        <v>552</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443</v>
      </c>
      <c r="D122" s="52">
        <v>2</v>
      </c>
      <c r="E122" s="52" t="s">
        <v>413</v>
      </c>
      <c r="F122" s="56" t="s">
        <v>215</v>
      </c>
      <c r="G122" s="52" t="s">
        <v>273</v>
      </c>
      <c r="H122" s="52">
        <v>1</v>
      </c>
      <c r="I122" s="55" t="s">
        <v>274</v>
      </c>
      <c r="J122" s="52" t="s">
        <v>182</v>
      </c>
      <c r="K122" s="52" t="s">
        <v>174</v>
      </c>
      <c r="L122" s="52" t="s">
        <v>331</v>
      </c>
      <c r="M122" s="68"/>
      <c r="N122" s="83"/>
      <c r="O122" s="70" t="str">
        <f t="shared" si="39"/>
        <v/>
      </c>
      <c r="P122" s="52" t="s">
        <v>116</v>
      </c>
      <c r="Q122" s="52" t="s">
        <v>119</v>
      </c>
      <c r="R122" s="52"/>
      <c r="S122" s="52" t="s">
        <v>552</v>
      </c>
      <c r="T122" s="52"/>
      <c r="U122" s="52" t="s">
        <v>96</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443</v>
      </c>
      <c r="D123" s="56">
        <v>2.4</v>
      </c>
      <c r="E123" s="56" t="s">
        <v>178</v>
      </c>
      <c r="F123" s="56"/>
      <c r="G123" s="56" t="s">
        <v>273</v>
      </c>
      <c r="H123" s="56">
        <v>3</v>
      </c>
      <c r="I123" s="57" t="s">
        <v>210</v>
      </c>
      <c r="J123" s="56" t="s">
        <v>182</v>
      </c>
      <c r="K123" s="56" t="s">
        <v>174</v>
      </c>
      <c r="L123" s="52" t="s">
        <v>331</v>
      </c>
      <c r="M123" s="68"/>
      <c r="N123" s="67"/>
      <c r="O123" s="70" t="str">
        <f t="shared" si="39"/>
        <v/>
      </c>
      <c r="P123" s="56" t="s">
        <v>116</v>
      </c>
      <c r="Q123" s="56" t="s">
        <v>131</v>
      </c>
      <c r="R123" s="56"/>
      <c r="S123" s="56"/>
      <c r="T123" s="56"/>
      <c r="U123" s="56" t="s">
        <v>96</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443</v>
      </c>
      <c r="D124" s="52">
        <v>2</v>
      </c>
      <c r="E124" s="52" t="s">
        <v>413</v>
      </c>
      <c r="F124" s="56" t="s">
        <v>215</v>
      </c>
      <c r="G124" s="52" t="s">
        <v>273</v>
      </c>
      <c r="H124" s="52">
        <v>4</v>
      </c>
      <c r="I124" s="55" t="s">
        <v>275</v>
      </c>
      <c r="J124" s="52" t="s">
        <v>182</v>
      </c>
      <c r="K124" s="52" t="s">
        <v>174</v>
      </c>
      <c r="L124" s="52" t="s">
        <v>331</v>
      </c>
      <c r="M124" s="68"/>
      <c r="N124" s="83"/>
      <c r="O124" s="70" t="str">
        <f t="shared" si="39"/>
        <v/>
      </c>
      <c r="P124" s="52" t="s">
        <v>116</v>
      </c>
      <c r="Q124" s="52" t="s">
        <v>117</v>
      </c>
      <c r="R124" s="52"/>
      <c r="S124" s="52" t="s">
        <v>552</v>
      </c>
      <c r="T124" s="52"/>
      <c r="U124" s="52" t="s">
        <v>96</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443</v>
      </c>
      <c r="D125" s="52">
        <v>2</v>
      </c>
      <c r="E125" s="52" t="s">
        <v>413</v>
      </c>
      <c r="F125" s="56" t="s">
        <v>215</v>
      </c>
      <c r="G125" s="52" t="s">
        <v>273</v>
      </c>
      <c r="H125" s="52">
        <v>5</v>
      </c>
      <c r="I125" s="55" t="s">
        <v>276</v>
      </c>
      <c r="J125" s="52" t="s">
        <v>182</v>
      </c>
      <c r="K125" s="52" t="s">
        <v>174</v>
      </c>
      <c r="L125" s="52" t="s">
        <v>331</v>
      </c>
      <c r="M125" s="68"/>
      <c r="N125" s="83"/>
      <c r="O125" s="70" t="str">
        <f t="shared" si="39"/>
        <v/>
      </c>
      <c r="P125" s="52" t="s">
        <v>116</v>
      </c>
      <c r="Q125" s="52" t="s">
        <v>277</v>
      </c>
      <c r="R125" s="52"/>
      <c r="S125" s="52" t="s">
        <v>552</v>
      </c>
      <c r="T125" s="52"/>
      <c r="U125" s="52" t="s">
        <v>96</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443</v>
      </c>
      <c r="D126" s="52">
        <v>2</v>
      </c>
      <c r="E126" s="52" t="s">
        <v>413</v>
      </c>
      <c r="F126" s="56" t="s">
        <v>213</v>
      </c>
      <c r="G126" s="56" t="s">
        <v>459</v>
      </c>
      <c r="H126" s="56">
        <v>1</v>
      </c>
      <c r="I126" s="56" t="s">
        <v>458</v>
      </c>
      <c r="J126" s="52" t="s">
        <v>182</v>
      </c>
      <c r="K126" s="52"/>
      <c r="L126" s="52" t="s">
        <v>331</v>
      </c>
      <c r="M126" s="68"/>
      <c r="N126" s="83"/>
      <c r="O126" s="70" t="str">
        <f t="shared" si="39"/>
        <v/>
      </c>
      <c r="P126" s="52" t="s">
        <v>146</v>
      </c>
      <c r="Q126" s="52" t="s">
        <v>155</v>
      </c>
      <c r="R126" s="52" t="s">
        <v>128</v>
      </c>
      <c r="S126" s="52" t="s">
        <v>163</v>
      </c>
      <c r="T126" s="52"/>
      <c r="U126" s="52" t="s">
        <v>95</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443</v>
      </c>
      <c r="D127" s="52">
        <v>2</v>
      </c>
      <c r="E127" s="52" t="s">
        <v>413</v>
      </c>
      <c r="F127" s="56" t="s">
        <v>490</v>
      </c>
      <c r="G127" s="52" t="s">
        <v>470</v>
      </c>
      <c r="H127" s="52">
        <v>1</v>
      </c>
      <c r="I127" s="52" t="s">
        <v>471</v>
      </c>
      <c r="J127" s="52" t="s">
        <v>314</v>
      </c>
      <c r="K127" s="52"/>
      <c r="L127" s="52" t="s">
        <v>331</v>
      </c>
      <c r="M127" s="68"/>
      <c r="N127" s="83"/>
      <c r="O127" s="70" t="str">
        <f t="shared" si="39"/>
        <v/>
      </c>
      <c r="P127" s="52" t="s">
        <v>147</v>
      </c>
      <c r="Q127" s="8" t="s">
        <v>111</v>
      </c>
      <c r="R127" s="52"/>
      <c r="S127" s="52" t="s">
        <v>163</v>
      </c>
      <c r="T127" s="52"/>
      <c r="U127" s="52" t="s">
        <v>97</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443</v>
      </c>
      <c r="D128" s="52">
        <v>2</v>
      </c>
      <c r="E128" s="52" t="s">
        <v>413</v>
      </c>
      <c r="F128" s="56" t="s">
        <v>490</v>
      </c>
      <c r="G128" s="52" t="s">
        <v>470</v>
      </c>
      <c r="H128" s="52">
        <v>2</v>
      </c>
      <c r="I128" s="52" t="s">
        <v>473</v>
      </c>
      <c r="J128" s="52" t="s">
        <v>314</v>
      </c>
      <c r="K128" s="52" t="s">
        <v>182</v>
      </c>
      <c r="L128" s="52" t="s">
        <v>331</v>
      </c>
      <c r="M128" s="68"/>
      <c r="N128" s="83"/>
      <c r="O128" s="70" t="str">
        <f t="shared" si="39"/>
        <v/>
      </c>
      <c r="P128" s="52" t="s">
        <v>111</v>
      </c>
      <c r="Q128" s="8" t="s">
        <v>126</v>
      </c>
      <c r="R128" s="52"/>
      <c r="S128" s="52" t="s">
        <v>163</v>
      </c>
      <c r="T128" s="52"/>
      <c r="U128" s="52" t="s">
        <v>97</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443</v>
      </c>
      <c r="D129" s="52">
        <v>2</v>
      </c>
      <c r="E129" s="52" t="s">
        <v>413</v>
      </c>
      <c r="F129" s="56" t="s">
        <v>490</v>
      </c>
      <c r="G129" s="52" t="s">
        <v>470</v>
      </c>
      <c r="H129" s="52">
        <v>3</v>
      </c>
      <c r="I129" s="52" t="s">
        <v>474</v>
      </c>
      <c r="J129" s="52" t="s">
        <v>182</v>
      </c>
      <c r="K129" s="52" t="s">
        <v>314</v>
      </c>
      <c r="L129" s="52" t="s">
        <v>331</v>
      </c>
      <c r="M129" s="68"/>
      <c r="N129" s="83"/>
      <c r="O129" s="70" t="str">
        <f t="shared" si="39"/>
        <v/>
      </c>
      <c r="P129" s="52" t="s">
        <v>126</v>
      </c>
      <c r="Q129" s="8" t="s">
        <v>126</v>
      </c>
      <c r="R129" s="52"/>
      <c r="S129" s="52" t="s">
        <v>163</v>
      </c>
      <c r="T129" s="52"/>
      <c r="U129" s="52" t="s">
        <v>97</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443</v>
      </c>
      <c r="D130" s="52">
        <v>2</v>
      </c>
      <c r="E130" s="52" t="s">
        <v>413</v>
      </c>
      <c r="F130" s="56" t="s">
        <v>490</v>
      </c>
      <c r="G130" s="52" t="s">
        <v>470</v>
      </c>
      <c r="H130" s="52">
        <v>4</v>
      </c>
      <c r="I130" s="52" t="s">
        <v>475</v>
      </c>
      <c r="J130" s="52" t="s">
        <v>314</v>
      </c>
      <c r="K130" s="52" t="s">
        <v>182</v>
      </c>
      <c r="L130" s="52" t="s">
        <v>331</v>
      </c>
      <c r="M130" s="68"/>
      <c r="N130" s="83"/>
      <c r="O130" s="70" t="str">
        <f t="shared" si="39"/>
        <v/>
      </c>
      <c r="P130" s="52" t="s">
        <v>111</v>
      </c>
      <c r="Q130" s="8" t="s">
        <v>111</v>
      </c>
      <c r="R130" s="52"/>
      <c r="S130" s="52" t="s">
        <v>163</v>
      </c>
      <c r="T130" s="52"/>
      <c r="U130" s="52" t="s">
        <v>97</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443</v>
      </c>
      <c r="D131" s="52">
        <v>2</v>
      </c>
      <c r="E131" s="52" t="s">
        <v>413</v>
      </c>
      <c r="F131" s="56" t="s">
        <v>490</v>
      </c>
      <c r="G131" s="56" t="s">
        <v>459</v>
      </c>
      <c r="H131" s="56">
        <v>2</v>
      </c>
      <c r="I131" s="56" t="s">
        <v>458</v>
      </c>
      <c r="J131" s="52" t="s">
        <v>314</v>
      </c>
      <c r="K131" s="52"/>
      <c r="L131" s="52" t="s">
        <v>331</v>
      </c>
      <c r="M131" s="68"/>
      <c r="N131" s="83"/>
      <c r="O131" s="70" t="str">
        <f t="shared" si="39"/>
        <v/>
      </c>
      <c r="P131" s="52" t="s">
        <v>146</v>
      </c>
      <c r="Q131" s="52" t="s">
        <v>160</v>
      </c>
      <c r="R131" s="52" t="s">
        <v>128</v>
      </c>
      <c r="S131" s="52" t="s">
        <v>163</v>
      </c>
      <c r="T131" s="52"/>
      <c r="U131" s="52" t="s">
        <v>130</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443</v>
      </c>
      <c r="D132" s="52">
        <v>2</v>
      </c>
      <c r="E132" s="52" t="s">
        <v>413</v>
      </c>
      <c r="F132" s="56" t="s">
        <v>490</v>
      </c>
      <c r="G132" s="56" t="s">
        <v>459</v>
      </c>
      <c r="H132" s="56">
        <v>8</v>
      </c>
      <c r="I132" s="56" t="s">
        <v>529</v>
      </c>
      <c r="J132" s="52" t="s">
        <v>388</v>
      </c>
      <c r="K132" s="52"/>
      <c r="L132" s="52" t="s">
        <v>331</v>
      </c>
      <c r="M132" s="68"/>
      <c r="N132" s="83"/>
      <c r="O132" s="70" t="str">
        <f t="shared" si="39"/>
        <v/>
      </c>
      <c r="P132" s="52" t="s">
        <v>146</v>
      </c>
      <c r="Q132" s="52" t="s">
        <v>127</v>
      </c>
      <c r="R132" s="52"/>
      <c r="S132" s="52" t="s">
        <v>163</v>
      </c>
      <c r="T132" s="52"/>
      <c r="U132" s="52" t="s">
        <v>106</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443</v>
      </c>
      <c r="D133" s="52">
        <v>2</v>
      </c>
      <c r="E133" s="52" t="s">
        <v>413</v>
      </c>
      <c r="F133" s="52" t="s">
        <v>282</v>
      </c>
      <c r="G133" s="52"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443</v>
      </c>
      <c r="D134" s="52">
        <v>2</v>
      </c>
      <c r="E134" s="52" t="s">
        <v>413</v>
      </c>
      <c r="F134" s="56" t="s">
        <v>490</v>
      </c>
      <c r="G134" s="56" t="s">
        <v>459</v>
      </c>
      <c r="H134" s="56">
        <v>5</v>
      </c>
      <c r="I134" s="56" t="s">
        <v>564</v>
      </c>
      <c r="J134" s="52" t="s">
        <v>388</v>
      </c>
      <c r="K134" s="52"/>
      <c r="L134" s="52" t="s">
        <v>331</v>
      </c>
      <c r="M134" s="68"/>
      <c r="N134" s="83"/>
      <c r="O134" s="70" t="str">
        <f t="shared" ref="O134:O154" si="40">IF(N134="No","û",IF(N134="Si","ü",IF(N134="NA","l","")))</f>
        <v/>
      </c>
      <c r="P134" s="52" t="s">
        <v>146</v>
      </c>
      <c r="Q134" s="52" t="s">
        <v>162</v>
      </c>
      <c r="R134" s="52" t="s">
        <v>128</v>
      </c>
      <c r="S134" s="52" t="s">
        <v>163</v>
      </c>
      <c r="T134" s="52"/>
      <c r="U134" s="52" t="s">
        <v>95</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443</v>
      </c>
      <c r="D135" s="56">
        <v>3</v>
      </c>
      <c r="E135" s="56" t="s">
        <v>484</v>
      </c>
      <c r="F135" s="61"/>
      <c r="G135" s="56" t="s">
        <v>27</v>
      </c>
      <c r="H135" s="56">
        <v>1</v>
      </c>
      <c r="I135" s="41" t="s">
        <v>463</v>
      </c>
      <c r="J135" s="56" t="s">
        <v>182</v>
      </c>
      <c r="K135" s="56"/>
      <c r="L135" s="52" t="s">
        <v>331</v>
      </c>
      <c r="M135" s="68"/>
      <c r="N135" s="83"/>
      <c r="O135" s="70" t="str">
        <f t="shared" si="40"/>
        <v/>
      </c>
      <c r="P135" s="56" t="s">
        <v>132</v>
      </c>
      <c r="Q135" s="41" t="s">
        <v>133</v>
      </c>
      <c r="R135" s="56"/>
      <c r="S135" s="56"/>
      <c r="T135" s="56"/>
      <c r="U135" s="56" t="s">
        <v>464</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443</v>
      </c>
      <c r="D136" s="52">
        <v>3</v>
      </c>
      <c r="E136" s="52" t="s">
        <v>484</v>
      </c>
      <c r="F136" s="53"/>
      <c r="G136" s="52" t="s">
        <v>202</v>
      </c>
      <c r="H136" s="52"/>
      <c r="I136" s="52"/>
      <c r="J136" s="52" t="s">
        <v>182</v>
      </c>
      <c r="K136" s="52" t="s">
        <v>174</v>
      </c>
      <c r="L136" s="52" t="s">
        <v>331</v>
      </c>
      <c r="M136" s="68"/>
      <c r="N136" s="83"/>
      <c r="O136" s="70" t="str">
        <f t="shared" si="40"/>
        <v/>
      </c>
      <c r="P136" s="52" t="s">
        <v>261</v>
      </c>
      <c r="Q136" s="52" t="s">
        <v>385</v>
      </c>
      <c r="R136" s="52"/>
      <c r="S136" s="52"/>
      <c r="T136" s="52"/>
      <c r="U136" s="52" t="s">
        <v>98</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443</v>
      </c>
      <c r="D137" s="52">
        <v>4</v>
      </c>
      <c r="E137" s="52" t="s">
        <v>485</v>
      </c>
      <c r="F137" s="53"/>
      <c r="G137" s="52" t="s">
        <v>202</v>
      </c>
      <c r="H137" s="52"/>
      <c r="I137" s="52"/>
      <c r="J137" s="52" t="s">
        <v>182</v>
      </c>
      <c r="K137" s="52" t="s">
        <v>174</v>
      </c>
      <c r="L137" s="52" t="s">
        <v>331</v>
      </c>
      <c r="M137" s="68"/>
      <c r="N137" s="83"/>
      <c r="O137" s="70" t="str">
        <f t="shared" si="40"/>
        <v/>
      </c>
      <c r="P137" s="52" t="s">
        <v>335</v>
      </c>
      <c r="Q137" s="52" t="s">
        <v>336</v>
      </c>
      <c r="R137" s="52"/>
      <c r="S137" s="52"/>
      <c r="T137" s="52"/>
      <c r="U137" s="52" t="s">
        <v>98</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443</v>
      </c>
      <c r="D138" s="52">
        <v>4</v>
      </c>
      <c r="E138" s="52" t="s">
        <v>485</v>
      </c>
      <c r="F138" s="53"/>
      <c r="G138" s="56" t="s">
        <v>27</v>
      </c>
      <c r="H138" s="52">
        <v>2</v>
      </c>
      <c r="I138" s="8" t="s">
        <v>465</v>
      </c>
      <c r="J138" s="52" t="s">
        <v>182</v>
      </c>
      <c r="K138" s="52" t="s">
        <v>174</v>
      </c>
      <c r="L138" s="52" t="s">
        <v>331</v>
      </c>
      <c r="M138" s="68"/>
      <c r="N138" s="83"/>
      <c r="O138" s="70" t="str">
        <f t="shared" si="40"/>
        <v/>
      </c>
      <c r="P138" s="52" t="s">
        <v>134</v>
      </c>
      <c r="Q138" s="8" t="s">
        <v>486</v>
      </c>
      <c r="R138" s="52"/>
      <c r="S138" s="52"/>
      <c r="T138" s="52"/>
      <c r="U138" s="52" t="s">
        <v>464</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443</v>
      </c>
      <c r="D139" s="58">
        <v>4</v>
      </c>
      <c r="E139" s="58" t="s">
        <v>485</v>
      </c>
      <c r="F139" s="58"/>
      <c r="G139" s="58" t="s">
        <v>554</v>
      </c>
      <c r="H139" s="58">
        <v>1</v>
      </c>
      <c r="I139" s="101" t="s">
        <v>164</v>
      </c>
      <c r="J139" s="58" t="s">
        <v>182</v>
      </c>
      <c r="K139" s="58" t="s">
        <v>174</v>
      </c>
      <c r="L139" s="58" t="s">
        <v>331</v>
      </c>
      <c r="M139" s="68"/>
      <c r="N139" s="83"/>
      <c r="O139" s="70" t="str">
        <f t="shared" si="40"/>
        <v/>
      </c>
      <c r="P139" s="101" t="s">
        <v>468</v>
      </c>
      <c r="Q139" s="101" t="s">
        <v>326</v>
      </c>
      <c r="R139" s="58"/>
      <c r="S139" s="58"/>
      <c r="T139" s="58"/>
      <c r="U139" s="58" t="s">
        <v>327</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443</v>
      </c>
      <c r="D140" s="52">
        <v>5</v>
      </c>
      <c r="E140" s="52" t="s">
        <v>487</v>
      </c>
      <c r="F140" s="53"/>
      <c r="G140" s="52" t="s">
        <v>202</v>
      </c>
      <c r="H140" s="52"/>
      <c r="I140" s="52"/>
      <c r="J140" s="52" t="s">
        <v>182</v>
      </c>
      <c r="K140" s="52"/>
      <c r="L140" s="52" t="s">
        <v>331</v>
      </c>
      <c r="M140" s="68"/>
      <c r="N140" s="83"/>
      <c r="O140" s="70" t="str">
        <f t="shared" si="40"/>
        <v/>
      </c>
      <c r="P140" s="52" t="s">
        <v>252</v>
      </c>
      <c r="Q140" s="52" t="s">
        <v>444</v>
      </c>
      <c r="R140" s="52"/>
      <c r="S140" s="52"/>
      <c r="T140" s="52"/>
      <c r="U140" s="52" t="s">
        <v>98</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443</v>
      </c>
      <c r="D141" s="52">
        <v>5</v>
      </c>
      <c r="E141" s="52" t="s">
        <v>487</v>
      </c>
      <c r="F141" s="53"/>
      <c r="G141" s="56" t="s">
        <v>27</v>
      </c>
      <c r="H141" s="52">
        <v>3</v>
      </c>
      <c r="I141" s="8" t="s">
        <v>135</v>
      </c>
      <c r="J141" s="52" t="s">
        <v>462</v>
      </c>
      <c r="K141" s="52" t="s">
        <v>466</v>
      </c>
      <c r="L141" s="52" t="s">
        <v>331</v>
      </c>
      <c r="M141" s="68"/>
      <c r="N141" s="83"/>
      <c r="O141" s="70" t="str">
        <f t="shared" si="40"/>
        <v/>
      </c>
      <c r="P141" s="52" t="s">
        <v>479</v>
      </c>
      <c r="Q141" s="8" t="s">
        <v>136</v>
      </c>
      <c r="R141" s="52"/>
      <c r="S141" s="52"/>
      <c r="T141" s="52"/>
      <c r="U141" s="52" t="s">
        <v>464</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443</v>
      </c>
      <c r="D142" s="52">
        <v>6</v>
      </c>
      <c r="E142" s="52" t="s">
        <v>543</v>
      </c>
      <c r="F142" s="53"/>
      <c r="G142" s="52" t="s">
        <v>202</v>
      </c>
      <c r="H142" s="52"/>
      <c r="I142" s="52"/>
      <c r="J142" s="52" t="s">
        <v>576</v>
      </c>
      <c r="K142" s="52" t="s">
        <v>182</v>
      </c>
      <c r="L142" s="52" t="s">
        <v>331</v>
      </c>
      <c r="M142" s="68"/>
      <c r="N142" s="83"/>
      <c r="O142" s="70" t="str">
        <f t="shared" si="40"/>
        <v/>
      </c>
      <c r="P142" s="52" t="s">
        <v>544</v>
      </c>
      <c r="Q142" s="52" t="s">
        <v>545</v>
      </c>
      <c r="R142" s="52"/>
      <c r="S142" s="52"/>
      <c r="T142" s="52"/>
      <c r="U142" s="52" t="s">
        <v>98</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443</v>
      </c>
      <c r="D143" s="52">
        <v>7</v>
      </c>
      <c r="E143" s="52" t="s">
        <v>546</v>
      </c>
      <c r="F143" s="53"/>
      <c r="G143" s="52" t="s">
        <v>202</v>
      </c>
      <c r="H143" s="52"/>
      <c r="I143" s="52"/>
      <c r="J143" s="52" t="s">
        <v>576</v>
      </c>
      <c r="K143" s="52" t="s">
        <v>182</v>
      </c>
      <c r="L143" s="52" t="s">
        <v>331</v>
      </c>
      <c r="M143" s="68"/>
      <c r="N143" s="83"/>
      <c r="O143" s="70" t="str">
        <f t="shared" si="40"/>
        <v/>
      </c>
      <c r="P143" s="52" t="s">
        <v>547</v>
      </c>
      <c r="Q143" s="52" t="s">
        <v>548</v>
      </c>
      <c r="R143" s="52"/>
      <c r="S143" s="52"/>
      <c r="T143" s="52"/>
      <c r="U143" s="52" t="s">
        <v>98</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443</v>
      </c>
      <c r="D144" s="52">
        <v>6</v>
      </c>
      <c r="E144" s="52" t="s">
        <v>546</v>
      </c>
      <c r="F144" s="53"/>
      <c r="G144" s="56" t="s">
        <v>27</v>
      </c>
      <c r="H144" s="52">
        <v>4</v>
      </c>
      <c r="I144" s="8" t="s">
        <v>137</v>
      </c>
      <c r="J144" s="52" t="s">
        <v>576</v>
      </c>
      <c r="K144" s="52" t="s">
        <v>466</v>
      </c>
      <c r="L144" s="52" t="s">
        <v>331</v>
      </c>
      <c r="M144" s="68"/>
      <c r="N144" s="83"/>
      <c r="O144" s="70" t="str">
        <f t="shared" si="40"/>
        <v/>
      </c>
      <c r="P144" s="52" t="s">
        <v>136</v>
      </c>
      <c r="Q144" s="8" t="s">
        <v>288</v>
      </c>
      <c r="R144" s="52"/>
      <c r="S144" s="52"/>
      <c r="T144" s="52"/>
      <c r="U144" s="52" t="s">
        <v>464</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443</v>
      </c>
      <c r="D145" s="52">
        <v>8</v>
      </c>
      <c r="E145" s="52" t="s">
        <v>488</v>
      </c>
      <c r="F145" s="53"/>
      <c r="G145" s="52" t="s">
        <v>202</v>
      </c>
      <c r="H145" s="52"/>
      <c r="I145" s="52"/>
      <c r="J145" s="52" t="s">
        <v>576</v>
      </c>
      <c r="K145" s="52"/>
      <c r="L145" s="52" t="s">
        <v>331</v>
      </c>
      <c r="M145" s="68"/>
      <c r="N145" s="83"/>
      <c r="O145" s="70" t="str">
        <f t="shared" si="40"/>
        <v/>
      </c>
      <c r="P145" s="52" t="s">
        <v>253</v>
      </c>
      <c r="Q145" s="52" t="s">
        <v>386</v>
      </c>
      <c r="R145" s="52"/>
      <c r="S145" s="52"/>
      <c r="T145" s="52"/>
      <c r="U145" s="52" t="s">
        <v>98</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443</v>
      </c>
      <c r="D146" s="52">
        <v>9</v>
      </c>
      <c r="E146" s="52" t="s">
        <v>489</v>
      </c>
      <c r="F146" s="53"/>
      <c r="G146" s="52" t="s">
        <v>202</v>
      </c>
      <c r="H146" s="52"/>
      <c r="I146" s="52"/>
      <c r="J146" s="52" t="s">
        <v>182</v>
      </c>
      <c r="K146" s="52" t="s">
        <v>575</v>
      </c>
      <c r="L146" s="52" t="s">
        <v>331</v>
      </c>
      <c r="M146" s="68"/>
      <c r="N146" s="83"/>
      <c r="O146" s="70" t="str">
        <f t="shared" si="40"/>
        <v/>
      </c>
      <c r="P146" s="52" t="s">
        <v>254</v>
      </c>
      <c r="Q146" s="52" t="s">
        <v>445</v>
      </c>
      <c r="R146" s="52"/>
      <c r="S146" s="52"/>
      <c r="T146" s="52"/>
      <c r="U146" s="52" t="s">
        <v>98</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443</v>
      </c>
      <c r="D147" s="52">
        <v>10</v>
      </c>
      <c r="E147" s="52" t="s">
        <v>255</v>
      </c>
      <c r="F147" s="53"/>
      <c r="G147" s="52" t="s">
        <v>202</v>
      </c>
      <c r="H147" s="52"/>
      <c r="I147" s="52"/>
      <c r="J147" s="52" t="s">
        <v>576</v>
      </c>
      <c r="K147" s="52" t="s">
        <v>257</v>
      </c>
      <c r="L147" s="52" t="s">
        <v>331</v>
      </c>
      <c r="M147" s="68"/>
      <c r="N147" s="83"/>
      <c r="O147" s="70" t="str">
        <f t="shared" si="40"/>
        <v/>
      </c>
      <c r="P147" s="52" t="s">
        <v>480</v>
      </c>
      <c r="Q147" s="52" t="s">
        <v>481</v>
      </c>
      <c r="R147" s="52"/>
      <c r="S147" s="52"/>
      <c r="T147" s="52"/>
      <c r="U147" s="52" t="s">
        <v>98</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443</v>
      </c>
      <c r="D148" s="52">
        <v>11</v>
      </c>
      <c r="E148" s="52" t="s">
        <v>256</v>
      </c>
      <c r="F148" s="53"/>
      <c r="G148" s="52" t="s">
        <v>202</v>
      </c>
      <c r="H148" s="52"/>
      <c r="I148" s="52"/>
      <c r="J148" s="52" t="s">
        <v>576</v>
      </c>
      <c r="K148" s="52" t="s">
        <v>258</v>
      </c>
      <c r="L148" s="52" t="s">
        <v>331</v>
      </c>
      <c r="M148" s="68"/>
      <c r="N148" s="83"/>
      <c r="O148" s="70" t="str">
        <f t="shared" si="40"/>
        <v/>
      </c>
      <c r="P148" s="52" t="s">
        <v>259</v>
      </c>
      <c r="Q148" s="52" t="s">
        <v>153</v>
      </c>
      <c r="R148" s="52"/>
      <c r="S148" s="52"/>
      <c r="T148" s="52"/>
      <c r="U148" s="52" t="s">
        <v>98</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443</v>
      </c>
      <c r="D149" s="52">
        <v>12</v>
      </c>
      <c r="E149" s="52" t="s">
        <v>384</v>
      </c>
      <c r="F149" s="53"/>
      <c r="G149" s="52" t="s">
        <v>202</v>
      </c>
      <c r="H149" s="52"/>
      <c r="I149" s="52"/>
      <c r="J149" s="52" t="s">
        <v>576</v>
      </c>
      <c r="K149" s="52"/>
      <c r="L149" s="52" t="s">
        <v>331</v>
      </c>
      <c r="M149" s="68"/>
      <c r="N149" s="83"/>
      <c r="O149" s="70" t="str">
        <f t="shared" si="40"/>
        <v/>
      </c>
      <c r="P149" s="52" t="s">
        <v>483</v>
      </c>
      <c r="Q149" s="52" t="s">
        <v>445</v>
      </c>
      <c r="R149" s="52"/>
      <c r="S149" s="52"/>
      <c r="T149" s="52"/>
      <c r="U149" s="52" t="s">
        <v>98</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443</v>
      </c>
      <c r="D150" s="52">
        <v>13</v>
      </c>
      <c r="E150" s="52" t="s">
        <v>442</v>
      </c>
      <c r="F150" s="53"/>
      <c r="G150" s="52" t="s">
        <v>202</v>
      </c>
      <c r="H150" s="52"/>
      <c r="I150" s="52"/>
      <c r="J150" s="52" t="s">
        <v>182</v>
      </c>
      <c r="K150" s="52"/>
      <c r="L150" s="52" t="s">
        <v>331</v>
      </c>
      <c r="M150" s="68"/>
      <c r="N150" s="83"/>
      <c r="O150" s="70" t="str">
        <f t="shared" si="40"/>
        <v/>
      </c>
      <c r="P150" s="52" t="s">
        <v>260</v>
      </c>
      <c r="Q150" s="52" t="s">
        <v>446</v>
      </c>
      <c r="R150" s="52"/>
      <c r="S150" s="52"/>
      <c r="T150" s="52"/>
      <c r="U150" s="52" t="s">
        <v>98</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443</v>
      </c>
      <c r="D151" s="52">
        <v>10</v>
      </c>
      <c r="E151" s="52" t="s">
        <v>442</v>
      </c>
      <c r="F151" s="53"/>
      <c r="G151" s="52" t="s">
        <v>453</v>
      </c>
      <c r="H151" s="52">
        <v>9.1</v>
      </c>
      <c r="I151" s="52" t="s">
        <v>272</v>
      </c>
      <c r="J151" s="52" t="s">
        <v>201</v>
      </c>
      <c r="K151" s="52" t="s">
        <v>182</v>
      </c>
      <c r="L151" s="52" t="s">
        <v>331</v>
      </c>
      <c r="M151" s="68"/>
      <c r="N151" s="83"/>
      <c r="O151" s="70" t="str">
        <f t="shared" si="40"/>
        <v/>
      </c>
      <c r="P151" s="43" t="s">
        <v>166</v>
      </c>
      <c r="Q151" s="52" t="s">
        <v>138</v>
      </c>
      <c r="R151" s="52" t="s">
        <v>263</v>
      </c>
      <c r="S151" s="52"/>
      <c r="T151" s="52"/>
      <c r="U151" s="52" t="s">
        <v>108</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443</v>
      </c>
      <c r="D152" s="52">
        <v>10</v>
      </c>
      <c r="E152" s="52" t="s">
        <v>442</v>
      </c>
      <c r="F152" s="53"/>
      <c r="G152" s="52" t="s">
        <v>453</v>
      </c>
      <c r="H152" s="52">
        <v>9.1999999999999993</v>
      </c>
      <c r="I152" s="52" t="s">
        <v>264</v>
      </c>
      <c r="J152" s="52" t="s">
        <v>182</v>
      </c>
      <c r="K152" s="52" t="s">
        <v>201</v>
      </c>
      <c r="L152" s="52" t="s">
        <v>331</v>
      </c>
      <c r="M152" s="68"/>
      <c r="N152" s="83"/>
      <c r="O152" s="70" t="str">
        <f t="shared" si="40"/>
        <v/>
      </c>
      <c r="P152" s="52" t="s">
        <v>139</v>
      </c>
      <c r="Q152" s="52" t="s">
        <v>141</v>
      </c>
      <c r="R152" s="52" t="s">
        <v>263</v>
      </c>
      <c r="S152" s="52"/>
      <c r="T152" s="52"/>
      <c r="U152" s="52" t="s">
        <v>108</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443</v>
      </c>
      <c r="D153" s="52">
        <v>10</v>
      </c>
      <c r="E153" s="52" t="s">
        <v>442</v>
      </c>
      <c r="F153" s="53"/>
      <c r="G153" s="52" t="s">
        <v>453</v>
      </c>
      <c r="H153" s="52">
        <v>9.4</v>
      </c>
      <c r="I153" s="52" t="s">
        <v>265</v>
      </c>
      <c r="J153" s="52" t="s">
        <v>182</v>
      </c>
      <c r="K153" s="52" t="s">
        <v>201</v>
      </c>
      <c r="L153" s="52" t="s">
        <v>331</v>
      </c>
      <c r="M153" s="68"/>
      <c r="N153" s="83"/>
      <c r="O153" s="70" t="str">
        <f t="shared" si="40"/>
        <v/>
      </c>
      <c r="P153" s="52" t="s">
        <v>140</v>
      </c>
      <c r="Q153" s="52" t="s">
        <v>142</v>
      </c>
      <c r="R153" s="52" t="s">
        <v>263</v>
      </c>
      <c r="S153" s="52"/>
      <c r="T153" s="52"/>
      <c r="U153" s="52" t="s">
        <v>108</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443</v>
      </c>
      <c r="D154" s="60">
        <v>10</v>
      </c>
      <c r="E154" s="60" t="s">
        <v>442</v>
      </c>
      <c r="F154" s="84"/>
      <c r="G154" s="52" t="s">
        <v>453</v>
      </c>
      <c r="H154" s="60">
        <v>9.6</v>
      </c>
      <c r="I154" s="60" t="s">
        <v>266</v>
      </c>
      <c r="J154" s="60" t="s">
        <v>182</v>
      </c>
      <c r="K154" s="60" t="s">
        <v>201</v>
      </c>
      <c r="L154" s="60" t="s">
        <v>331</v>
      </c>
      <c r="M154" s="80"/>
      <c r="N154" s="106"/>
      <c r="O154" s="82" t="str">
        <f t="shared" si="40"/>
        <v/>
      </c>
      <c r="P154" s="60" t="s">
        <v>139</v>
      </c>
      <c r="Q154" s="60" t="s">
        <v>323</v>
      </c>
      <c r="R154" s="60" t="s">
        <v>263</v>
      </c>
      <c r="S154" s="60"/>
      <c r="T154" s="60"/>
      <c r="U154" s="60" t="s">
        <v>108</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387</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387</v>
      </c>
      <c r="D156" s="73">
        <v>1</v>
      </c>
      <c r="E156" s="73" t="s">
        <v>447</v>
      </c>
      <c r="F156" s="74"/>
      <c r="G156" s="52" t="s">
        <v>202</v>
      </c>
      <c r="H156" s="73"/>
      <c r="I156" s="73"/>
      <c r="J156" s="73" t="s">
        <v>182</v>
      </c>
      <c r="K156" s="73" t="s">
        <v>576</v>
      </c>
      <c r="L156" s="73" t="s">
        <v>331</v>
      </c>
      <c r="M156" s="76"/>
      <c r="N156" s="83"/>
      <c r="O156" s="69" t="str">
        <f t="shared" ref="O156:O165" si="48">IF(N156="No","û",IF(N156="Si","ü",IF(N156="NA","l","")))</f>
        <v/>
      </c>
      <c r="P156" s="73" t="s">
        <v>337</v>
      </c>
      <c r="Q156" s="73" t="s">
        <v>450</v>
      </c>
      <c r="R156" s="73"/>
      <c r="S156" s="73"/>
      <c r="T156" s="73"/>
      <c r="U156" s="73" t="s">
        <v>98</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387</v>
      </c>
      <c r="D157" s="52">
        <v>2</v>
      </c>
      <c r="E157" s="52" t="s">
        <v>448</v>
      </c>
      <c r="F157" s="53"/>
      <c r="G157" s="52" t="s">
        <v>202</v>
      </c>
      <c r="H157" s="52"/>
      <c r="I157" s="52"/>
      <c r="J157" s="52" t="s">
        <v>182</v>
      </c>
      <c r="K157" s="52" t="s">
        <v>174</v>
      </c>
      <c r="L157" s="52" t="s">
        <v>331</v>
      </c>
      <c r="M157" s="68"/>
      <c r="N157" s="83"/>
      <c r="O157" s="70" t="str">
        <f t="shared" si="48"/>
        <v/>
      </c>
      <c r="P157" s="52" t="s">
        <v>337</v>
      </c>
      <c r="Q157" s="52" t="s">
        <v>451</v>
      </c>
      <c r="R157" s="52"/>
      <c r="S157" s="52"/>
      <c r="T157" s="52"/>
      <c r="U157" s="52" t="s">
        <v>98</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387</v>
      </c>
      <c r="D158" s="52">
        <v>2</v>
      </c>
      <c r="E158" s="52" t="s">
        <v>448</v>
      </c>
      <c r="F158" s="53"/>
      <c r="G158" s="52" t="s">
        <v>283</v>
      </c>
      <c r="H158" s="52">
        <v>1</v>
      </c>
      <c r="I158" s="55" t="s">
        <v>279</v>
      </c>
      <c r="J158" s="52" t="s">
        <v>182</v>
      </c>
      <c r="K158" s="52" t="s">
        <v>174</v>
      </c>
      <c r="L158" s="52" t="s">
        <v>331</v>
      </c>
      <c r="M158" s="68"/>
      <c r="N158" s="83"/>
      <c r="O158" s="70" t="str">
        <f t="shared" si="48"/>
        <v/>
      </c>
      <c r="P158" s="52" t="s">
        <v>555</v>
      </c>
      <c r="Q158" s="52" t="s">
        <v>281</v>
      </c>
      <c r="R158" s="52"/>
      <c r="S158" s="52"/>
      <c r="T158" s="52"/>
      <c r="U158" s="52" t="s">
        <v>96</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387</v>
      </c>
      <c r="D159" s="52">
        <v>3</v>
      </c>
      <c r="E159" s="52" t="s">
        <v>448</v>
      </c>
      <c r="F159" s="56" t="s">
        <v>213</v>
      </c>
      <c r="G159" s="52" t="s">
        <v>28</v>
      </c>
      <c r="H159" s="56">
        <v>1</v>
      </c>
      <c r="I159" s="56" t="s">
        <v>458</v>
      </c>
      <c r="J159" s="52" t="s">
        <v>182</v>
      </c>
      <c r="K159" s="52"/>
      <c r="L159" s="52" t="s">
        <v>331</v>
      </c>
      <c r="M159" s="68"/>
      <c r="N159" s="83"/>
      <c r="O159" s="70" t="str">
        <f t="shared" si="48"/>
        <v/>
      </c>
      <c r="P159" s="52" t="s">
        <v>148</v>
      </c>
      <c r="Q159" s="52" t="s">
        <v>155</v>
      </c>
      <c r="R159" s="52" t="s">
        <v>128</v>
      </c>
      <c r="S159" s="52"/>
      <c r="T159" s="52"/>
      <c r="U159" s="52" t="s">
        <v>95</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387</v>
      </c>
      <c r="D160" s="52">
        <v>2</v>
      </c>
      <c r="E160" s="52" t="s">
        <v>448</v>
      </c>
      <c r="F160" s="56"/>
      <c r="G160" s="52" t="s">
        <v>584</v>
      </c>
      <c r="H160" s="52">
        <v>1</v>
      </c>
      <c r="I160" s="52" t="s">
        <v>471</v>
      </c>
      <c r="J160" s="52" t="s">
        <v>314</v>
      </c>
      <c r="K160" s="52"/>
      <c r="L160" s="52" t="s">
        <v>331</v>
      </c>
      <c r="M160" s="68"/>
      <c r="N160" s="83"/>
      <c r="O160" s="70" t="str">
        <f t="shared" si="48"/>
        <v/>
      </c>
      <c r="P160" s="52" t="s">
        <v>104</v>
      </c>
      <c r="Q160" s="8" t="s">
        <v>143</v>
      </c>
      <c r="R160" s="52"/>
      <c r="S160" s="52"/>
      <c r="T160" s="52"/>
      <c r="U160" s="52" t="s">
        <v>97</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387</v>
      </c>
      <c r="D161" s="52">
        <v>2</v>
      </c>
      <c r="E161" s="52" t="s">
        <v>448</v>
      </c>
      <c r="F161" s="56"/>
      <c r="G161" s="52" t="s">
        <v>584</v>
      </c>
      <c r="H161" s="52">
        <v>2</v>
      </c>
      <c r="I161" s="52" t="s">
        <v>473</v>
      </c>
      <c r="J161" s="52" t="s">
        <v>314</v>
      </c>
      <c r="K161" s="52" t="s">
        <v>182</v>
      </c>
      <c r="L161" s="52" t="s">
        <v>331</v>
      </c>
      <c r="M161" s="68"/>
      <c r="N161" s="83"/>
      <c r="O161" s="70" t="str">
        <f t="shared" si="48"/>
        <v/>
      </c>
      <c r="P161" s="52" t="s">
        <v>143</v>
      </c>
      <c r="Q161" s="8" t="s">
        <v>144</v>
      </c>
      <c r="R161" s="52"/>
      <c r="S161" s="52"/>
      <c r="T161" s="52"/>
      <c r="U161" s="52" t="s">
        <v>97</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387</v>
      </c>
      <c r="D162" s="52">
        <v>2</v>
      </c>
      <c r="E162" s="52" t="s">
        <v>448</v>
      </c>
      <c r="F162" s="56"/>
      <c r="G162" s="52" t="s">
        <v>584</v>
      </c>
      <c r="H162" s="52">
        <v>3</v>
      </c>
      <c r="I162" s="52" t="s">
        <v>474</v>
      </c>
      <c r="J162" s="52" t="s">
        <v>182</v>
      </c>
      <c r="K162" s="52" t="s">
        <v>314</v>
      </c>
      <c r="L162" s="52" t="s">
        <v>331</v>
      </c>
      <c r="M162" s="68"/>
      <c r="N162" s="83"/>
      <c r="O162" s="70" t="str">
        <f t="shared" si="48"/>
        <v/>
      </c>
      <c r="P162" s="52" t="s">
        <v>144</v>
      </c>
      <c r="Q162" s="8" t="s">
        <v>144</v>
      </c>
      <c r="R162" s="52"/>
      <c r="S162" s="52"/>
      <c r="T162" s="52"/>
      <c r="U162" s="52" t="s">
        <v>97</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387</v>
      </c>
      <c r="D163" s="52">
        <v>2</v>
      </c>
      <c r="E163" s="52" t="s">
        <v>448</v>
      </c>
      <c r="F163" s="56"/>
      <c r="G163" s="52" t="s">
        <v>584</v>
      </c>
      <c r="H163" s="52">
        <v>4</v>
      </c>
      <c r="I163" s="52" t="s">
        <v>475</v>
      </c>
      <c r="J163" s="52" t="s">
        <v>314</v>
      </c>
      <c r="K163" s="52" t="s">
        <v>182</v>
      </c>
      <c r="L163" s="52" t="s">
        <v>331</v>
      </c>
      <c r="M163" s="68"/>
      <c r="N163" s="83"/>
      <c r="O163" s="70" t="str">
        <f t="shared" si="48"/>
        <v/>
      </c>
      <c r="P163" s="52" t="s">
        <v>145</v>
      </c>
      <c r="Q163" s="8" t="s">
        <v>145</v>
      </c>
      <c r="R163" s="52"/>
      <c r="S163" s="52"/>
      <c r="T163" s="52"/>
      <c r="U163" s="52" t="s">
        <v>97</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387</v>
      </c>
      <c r="D164" s="52">
        <v>2</v>
      </c>
      <c r="E164" s="52" t="s">
        <v>448</v>
      </c>
      <c r="F164" s="56" t="s">
        <v>490</v>
      </c>
      <c r="G164" s="52" t="s">
        <v>28</v>
      </c>
      <c r="H164" s="56">
        <v>2</v>
      </c>
      <c r="I164" s="56" t="s">
        <v>458</v>
      </c>
      <c r="J164" s="52" t="s">
        <v>314</v>
      </c>
      <c r="K164" s="52"/>
      <c r="L164" s="52" t="s">
        <v>331</v>
      </c>
      <c r="M164" s="68"/>
      <c r="N164" s="83"/>
      <c r="O164" s="70" t="str">
        <f t="shared" si="48"/>
        <v/>
      </c>
      <c r="P164" s="52" t="s">
        <v>148</v>
      </c>
      <c r="Q164" s="52" t="s">
        <v>160</v>
      </c>
      <c r="R164" s="52" t="s">
        <v>128</v>
      </c>
      <c r="S164" s="52"/>
      <c r="T164" s="52"/>
      <c r="U164" s="52" t="s">
        <v>130</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387</v>
      </c>
      <c r="D165" s="52">
        <v>2</v>
      </c>
      <c r="E165" s="52" t="s">
        <v>448</v>
      </c>
      <c r="F165" s="56" t="s">
        <v>490</v>
      </c>
      <c r="G165" s="52" t="s">
        <v>28</v>
      </c>
      <c r="H165" s="56">
        <v>8</v>
      </c>
      <c r="I165" s="56" t="s">
        <v>529</v>
      </c>
      <c r="J165" s="52" t="s">
        <v>388</v>
      </c>
      <c r="K165" s="52"/>
      <c r="L165" s="52" t="s">
        <v>331</v>
      </c>
      <c r="M165" s="68"/>
      <c r="N165" s="83"/>
      <c r="O165" s="70" t="str">
        <f t="shared" si="48"/>
        <v/>
      </c>
      <c r="P165" s="52" t="s">
        <v>148</v>
      </c>
      <c r="Q165" s="52" t="s">
        <v>127</v>
      </c>
      <c r="R165" s="52"/>
      <c r="S165" s="52"/>
      <c r="T165" s="52"/>
      <c r="U165" s="52" t="s">
        <v>106</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387</v>
      </c>
      <c r="D166" s="52">
        <v>2</v>
      </c>
      <c r="E166" s="52" t="s">
        <v>448</v>
      </c>
      <c r="F166" s="52" t="s">
        <v>282</v>
      </c>
      <c r="G166" s="52"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387</v>
      </c>
      <c r="D167" s="52">
        <v>3</v>
      </c>
      <c r="E167" s="52" t="s">
        <v>449</v>
      </c>
      <c r="F167" s="53"/>
      <c r="G167" s="52" t="s">
        <v>28</v>
      </c>
      <c r="H167" s="52"/>
      <c r="I167" s="52"/>
      <c r="J167" s="52" t="s">
        <v>388</v>
      </c>
      <c r="K167" s="52" t="s">
        <v>583</v>
      </c>
      <c r="L167" s="52" t="s">
        <v>331</v>
      </c>
      <c r="M167" s="68"/>
      <c r="N167" s="83"/>
      <c r="O167" s="70" t="str">
        <f>IF(N167="No","û",IF(N167="Si","ü",IF(N167="NA","l","")))</f>
        <v/>
      </c>
      <c r="P167" s="52" t="s">
        <v>338</v>
      </c>
      <c r="Q167" s="52" t="s">
        <v>452</v>
      </c>
      <c r="R167" s="52"/>
      <c r="S167" s="52"/>
      <c r="T167" s="52"/>
      <c r="U167" s="52" t="s">
        <v>98</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387</v>
      </c>
      <c r="D168" s="52">
        <v>4</v>
      </c>
      <c r="E168" s="52" t="s">
        <v>449</v>
      </c>
      <c r="F168" s="56" t="s">
        <v>490</v>
      </c>
      <c r="G168" s="52" t="s">
        <v>28</v>
      </c>
      <c r="H168" s="56">
        <v>5</v>
      </c>
      <c r="I168" s="56" t="s">
        <v>564</v>
      </c>
      <c r="J168" s="52" t="s">
        <v>388</v>
      </c>
      <c r="K168" s="52"/>
      <c r="L168" s="52" t="s">
        <v>331</v>
      </c>
      <c r="M168" s="68"/>
      <c r="N168" s="83"/>
      <c r="O168" s="70" t="str">
        <f>IF(N168="No","û",IF(N168="Si","ü",IF(N168="NA","l","")))</f>
        <v/>
      </c>
      <c r="P168" s="52" t="s">
        <v>148</v>
      </c>
      <c r="Q168" s="52" t="s">
        <v>162</v>
      </c>
      <c r="R168" s="52" t="s">
        <v>128</v>
      </c>
      <c r="S168" s="52"/>
      <c r="T168" s="52"/>
      <c r="U168" s="52" t="s">
        <v>95</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sheetPr codeName="Sheet5" enableFormatConditionsCalculation="0">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290" t="s">
        <v>29</v>
      </c>
      <c r="C2" s="291"/>
      <c r="D2" s="292"/>
      <c r="E2" s="202">
        <v>3</v>
      </c>
    </row>
    <row r="3" spans="2:37" ht="12.75" customHeight="1">
      <c r="B3" s="290" t="s">
        <v>517</v>
      </c>
      <c r="C3" s="291"/>
      <c r="D3" s="292"/>
      <c r="E3" s="202" t="s">
        <v>33</v>
      </c>
      <c r="H3" s="286" t="s">
        <v>494</v>
      </c>
      <c r="I3" s="287"/>
      <c r="J3" s="201">
        <f>COUNTIF($N$12:$N$168,"Si")</f>
        <v>17</v>
      </c>
      <c r="AE3" s="111"/>
      <c r="AF3" s="139" t="s">
        <v>202</v>
      </c>
      <c r="AG3" s="139" t="s">
        <v>453</v>
      </c>
      <c r="AH3" s="139" t="s">
        <v>283</v>
      </c>
      <c r="AI3" s="139" t="s">
        <v>584</v>
      </c>
      <c r="AJ3" s="139" t="s">
        <v>28</v>
      </c>
      <c r="AK3" s="139" t="s">
        <v>27</v>
      </c>
    </row>
    <row r="4" spans="2:37" ht="12" customHeight="1">
      <c r="B4" s="290" t="s">
        <v>292</v>
      </c>
      <c r="C4" s="291"/>
      <c r="D4" s="292"/>
      <c r="E4" s="202" t="s">
        <v>39</v>
      </c>
      <c r="H4" s="286" t="s">
        <v>495</v>
      </c>
      <c r="I4" s="287"/>
      <c r="J4" s="201">
        <f>COUNTIF($N$12:$N$168,"No")</f>
        <v>2</v>
      </c>
      <c r="AE4" s="135" t="s">
        <v>494</v>
      </c>
      <c r="AF4" s="136">
        <f t="shared" ref="AF4:AK4" si="0">COUNTIF(X12:X168,"Si")</f>
        <v>7</v>
      </c>
      <c r="AG4" s="136">
        <f t="shared" si="0"/>
        <v>2</v>
      </c>
      <c r="AH4" s="136">
        <f t="shared" si="0"/>
        <v>2</v>
      </c>
      <c r="AI4" s="136">
        <f t="shared" si="0"/>
        <v>2</v>
      </c>
      <c r="AJ4" s="136">
        <f t="shared" si="0"/>
        <v>3</v>
      </c>
      <c r="AK4" s="136">
        <f t="shared" si="0"/>
        <v>1</v>
      </c>
    </row>
    <row r="5" spans="2:37" ht="12.75" customHeight="1">
      <c r="B5" s="290" t="s">
        <v>290</v>
      </c>
      <c r="C5" s="291"/>
      <c r="D5" s="292"/>
      <c r="E5" s="203">
        <v>39696</v>
      </c>
      <c r="H5" s="286" t="s">
        <v>496</v>
      </c>
      <c r="I5" s="287"/>
      <c r="J5" s="201">
        <f>COUNTIF($N$14:$N$168,"NA")</f>
        <v>1</v>
      </c>
      <c r="AE5" s="135" t="s">
        <v>495</v>
      </c>
      <c r="AF5" s="136">
        <f t="shared" ref="AF5:AK5" si="1">COUNTIF(X12:X168,"No")</f>
        <v>2</v>
      </c>
      <c r="AG5" s="136">
        <f t="shared" si="1"/>
        <v>0</v>
      </c>
      <c r="AH5" s="136">
        <f t="shared" si="1"/>
        <v>0</v>
      </c>
      <c r="AI5" s="136">
        <f t="shared" si="1"/>
        <v>0</v>
      </c>
      <c r="AJ5" s="136">
        <f t="shared" si="1"/>
        <v>0</v>
      </c>
      <c r="AK5" s="136">
        <f t="shared" si="1"/>
        <v>0</v>
      </c>
    </row>
    <row r="6" spans="2:37" ht="12.75" customHeight="1">
      <c r="B6" s="290" t="s">
        <v>17</v>
      </c>
      <c r="C6" s="291"/>
      <c r="D6" s="292"/>
      <c r="E6" s="202" t="s">
        <v>490</v>
      </c>
      <c r="H6" s="36" t="s">
        <v>221</v>
      </c>
      <c r="I6" s="36"/>
      <c r="J6" s="199">
        <f>((J3+J4))/(J3+J4+ COUNTIF($N$14:$N$168,""))</f>
        <v>0.12418300653594772</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218</v>
      </c>
      <c r="I7" s="36"/>
      <c r="J7" s="199">
        <f>J3/(J3+J4)</f>
        <v>0.89473684210526316</v>
      </c>
      <c r="AE7" s="135" t="s">
        <v>221</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218</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88" t="s">
        <v>171</v>
      </c>
      <c r="C9" s="288" t="s">
        <v>209</v>
      </c>
      <c r="D9" s="293" t="s">
        <v>497</v>
      </c>
      <c r="E9" s="293"/>
      <c r="F9" s="39"/>
      <c r="G9" s="294" t="s">
        <v>22</v>
      </c>
      <c r="H9" s="293" t="s">
        <v>203</v>
      </c>
      <c r="I9" s="293"/>
      <c r="J9" s="288" t="s">
        <v>206</v>
      </c>
      <c r="K9" s="288" t="s">
        <v>198</v>
      </c>
      <c r="L9" s="288" t="s">
        <v>330</v>
      </c>
      <c r="M9" s="288" t="s">
        <v>421</v>
      </c>
      <c r="N9" s="288" t="s">
        <v>332</v>
      </c>
      <c r="O9" s="288"/>
      <c r="P9" s="288" t="s">
        <v>493</v>
      </c>
      <c r="Q9" s="288" t="s">
        <v>207</v>
      </c>
      <c r="R9" s="288" t="s">
        <v>188</v>
      </c>
      <c r="S9" s="288" t="s">
        <v>189</v>
      </c>
      <c r="T9" s="288" t="s">
        <v>190</v>
      </c>
      <c r="U9" s="288" t="s">
        <v>208</v>
      </c>
      <c r="V9" s="288" t="s">
        <v>374</v>
      </c>
    </row>
    <row r="10" spans="2:37" ht="24" customHeight="1" thickBot="1">
      <c r="B10" s="289"/>
      <c r="C10" s="289"/>
      <c r="D10" s="71" t="s">
        <v>171</v>
      </c>
      <c r="E10" s="71" t="s">
        <v>325</v>
      </c>
      <c r="F10" s="71" t="s">
        <v>204</v>
      </c>
      <c r="G10" s="295"/>
      <c r="H10" s="71" t="s">
        <v>171</v>
      </c>
      <c r="I10" s="72" t="s">
        <v>325</v>
      </c>
      <c r="J10" s="289"/>
      <c r="K10" s="289"/>
      <c r="L10" s="289"/>
      <c r="M10" s="289"/>
      <c r="N10" s="289"/>
      <c r="O10" s="289"/>
      <c r="P10" s="289"/>
      <c r="Q10" s="289"/>
      <c r="R10" s="289"/>
      <c r="S10" s="289"/>
      <c r="T10" s="289"/>
      <c r="U10" s="289"/>
      <c r="V10" s="289"/>
      <c r="X10" s="125" t="s">
        <v>202</v>
      </c>
      <c r="Y10" s="125" t="s">
        <v>453</v>
      </c>
      <c r="Z10" s="125" t="s">
        <v>283</v>
      </c>
      <c r="AA10" s="125" t="s">
        <v>584</v>
      </c>
      <c r="AB10" s="125" t="s">
        <v>28</v>
      </c>
      <c r="AC10" s="125" t="s">
        <v>27</v>
      </c>
    </row>
    <row r="11" spans="2:37" ht="18" customHeight="1" thickBot="1">
      <c r="B11" s="104" t="s">
        <v>504</v>
      </c>
      <c r="C11" s="93"/>
      <c r="D11" s="93"/>
      <c r="E11" s="93"/>
      <c r="F11" s="93"/>
      <c r="G11" s="93"/>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c r="B12" s="73">
        <v>1</v>
      </c>
      <c r="C12" s="73" t="s">
        <v>390</v>
      </c>
      <c r="D12" s="73">
        <v>1</v>
      </c>
      <c r="E12" s="73" t="s">
        <v>389</v>
      </c>
      <c r="F12" s="74"/>
      <c r="G12" s="52" t="s">
        <v>202</v>
      </c>
      <c r="H12" s="73"/>
      <c r="I12" s="73"/>
      <c r="J12" s="73" t="s">
        <v>576</v>
      </c>
      <c r="K12" s="73" t="s">
        <v>536</v>
      </c>
      <c r="L12" s="75" t="s">
        <v>331</v>
      </c>
      <c r="M12" s="76">
        <v>1</v>
      </c>
      <c r="N12" s="77" t="s">
        <v>223</v>
      </c>
      <c r="O12" s="78" t="str">
        <f t="shared" ref="O12:O43" si="4">IF(N12="No","û",IF(N12="Si","ü",IF(N12="NA","l","")))</f>
        <v>û</v>
      </c>
      <c r="P12" s="73" t="s">
        <v>151</v>
      </c>
      <c r="Q12" s="73" t="s">
        <v>526</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390</v>
      </c>
      <c r="D13" s="73">
        <v>2</v>
      </c>
      <c r="E13" s="73" t="s">
        <v>533</v>
      </c>
      <c r="F13" s="74"/>
      <c r="G13" s="52"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390</v>
      </c>
      <c r="D14" s="52">
        <v>3</v>
      </c>
      <c r="E14" s="52" t="s">
        <v>391</v>
      </c>
      <c r="F14" s="53"/>
      <c r="G14" s="52" t="s">
        <v>202</v>
      </c>
      <c r="H14" s="52"/>
      <c r="I14" s="52"/>
      <c r="J14" s="52" t="s">
        <v>182</v>
      </c>
      <c r="K14" s="52" t="s">
        <v>576</v>
      </c>
      <c r="L14" s="52" t="s">
        <v>331</v>
      </c>
      <c r="M14" s="68">
        <v>2</v>
      </c>
      <c r="N14" s="67" t="s">
        <v>223</v>
      </c>
      <c r="O14" s="78" t="str">
        <f t="shared" si="4"/>
        <v>û</v>
      </c>
      <c r="P14" s="52" t="s">
        <v>528</v>
      </c>
      <c r="Q14" s="52" t="s">
        <v>527</v>
      </c>
      <c r="R14" s="52" t="s">
        <v>390</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390</v>
      </c>
      <c r="D15" s="52">
        <v>3</v>
      </c>
      <c r="E15" s="52" t="s">
        <v>391</v>
      </c>
      <c r="F15" s="53"/>
      <c r="G15" s="52" t="s">
        <v>202</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390</v>
      </c>
      <c r="D16" s="52">
        <v>3</v>
      </c>
      <c r="E16" s="52" t="s">
        <v>391</v>
      </c>
      <c r="F16" s="53"/>
      <c r="G16" s="52"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390</v>
      </c>
      <c r="D17" s="52">
        <v>3</v>
      </c>
      <c r="E17" s="52" t="s">
        <v>391</v>
      </c>
      <c r="F17" s="53"/>
      <c r="G17" s="52"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390</v>
      </c>
      <c r="D18" s="52">
        <v>3</v>
      </c>
      <c r="E18" s="52" t="s">
        <v>391</v>
      </c>
      <c r="F18" s="53"/>
      <c r="G18" s="52"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390</v>
      </c>
      <c r="D19" s="52">
        <v>3</v>
      </c>
      <c r="E19" s="52" t="s">
        <v>391</v>
      </c>
      <c r="F19" s="53"/>
      <c r="G19" s="52"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390</v>
      </c>
      <c r="D20" s="52">
        <v>3</v>
      </c>
      <c r="E20" s="52" t="s">
        <v>391</v>
      </c>
      <c r="F20" s="53"/>
      <c r="G20" s="52"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390</v>
      </c>
      <c r="D21" s="52">
        <v>3</v>
      </c>
      <c r="E21" s="52" t="s">
        <v>391</v>
      </c>
      <c r="F21" s="53"/>
      <c r="G21" s="52"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390</v>
      </c>
      <c r="D22" s="52">
        <v>3</v>
      </c>
      <c r="E22" s="52" t="s">
        <v>391</v>
      </c>
      <c r="F22" s="53"/>
      <c r="G22" s="52"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390</v>
      </c>
      <c r="D23" s="52">
        <v>3</v>
      </c>
      <c r="E23" s="52" t="s">
        <v>391</v>
      </c>
      <c r="F23" s="53"/>
      <c r="G23" s="52"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390</v>
      </c>
      <c r="D24" s="52">
        <v>3</v>
      </c>
      <c r="E24" s="52" t="s">
        <v>392</v>
      </c>
      <c r="F24" s="53"/>
      <c r="G24" s="52" t="s">
        <v>202</v>
      </c>
      <c r="H24" s="52"/>
      <c r="I24" s="52"/>
      <c r="J24" s="52" t="s">
        <v>182</v>
      </c>
      <c r="K24" s="52" t="s">
        <v>537</v>
      </c>
      <c r="L24" s="52" t="s">
        <v>331</v>
      </c>
      <c r="M24" s="68">
        <v>1</v>
      </c>
      <c r="N24" s="67" t="s">
        <v>220</v>
      </c>
      <c r="O24" s="78" t="str">
        <f t="shared" si="4"/>
        <v>ü</v>
      </c>
      <c r="P24" s="52" t="s">
        <v>380</v>
      </c>
      <c r="Q24" s="52" t="s">
        <v>393</v>
      </c>
      <c r="R24" s="52" t="s">
        <v>390</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390</v>
      </c>
      <c r="D25" s="52">
        <v>3</v>
      </c>
      <c r="E25" s="52" t="s">
        <v>456</v>
      </c>
      <c r="F25" s="53"/>
      <c r="G25" s="52" t="s">
        <v>202</v>
      </c>
      <c r="H25" s="52"/>
      <c r="I25" s="52"/>
      <c r="J25" s="52" t="s">
        <v>182</v>
      </c>
      <c r="K25" s="52" t="s">
        <v>537</v>
      </c>
      <c r="L25" s="52" t="s">
        <v>331</v>
      </c>
      <c r="M25" s="68">
        <v>3</v>
      </c>
      <c r="N25" s="67" t="s">
        <v>15</v>
      </c>
      <c r="O25" s="78" t="str">
        <f t="shared" si="4"/>
        <v>l</v>
      </c>
      <c r="P25" s="52" t="s">
        <v>381</v>
      </c>
      <c r="Q25" s="52" t="s">
        <v>394</v>
      </c>
      <c r="R25" s="52" t="s">
        <v>390</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390</v>
      </c>
      <c r="D26" s="52">
        <v>3</v>
      </c>
      <c r="E26" s="52" t="s">
        <v>178</v>
      </c>
      <c r="F26" s="52"/>
      <c r="G26" s="52" t="s">
        <v>202</v>
      </c>
      <c r="H26" s="52"/>
      <c r="I26" s="52"/>
      <c r="J26" s="52" t="s">
        <v>182</v>
      </c>
      <c r="K26" s="52" t="s">
        <v>576</v>
      </c>
      <c r="L26" s="52" t="s">
        <v>331</v>
      </c>
      <c r="M26" s="68"/>
      <c r="N26" s="67"/>
      <c r="O26" s="78" t="str">
        <f t="shared" si="4"/>
        <v/>
      </c>
      <c r="P26" s="52" t="s">
        <v>382</v>
      </c>
      <c r="Q26" s="52" t="s">
        <v>395</v>
      </c>
      <c r="R26" s="52" t="s">
        <v>390</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390</v>
      </c>
      <c r="D27" s="52">
        <v>2.4</v>
      </c>
      <c r="E27" s="52" t="s">
        <v>178</v>
      </c>
      <c r="F27" s="52"/>
      <c r="G27" s="52" t="s">
        <v>202</v>
      </c>
      <c r="H27" s="52">
        <v>1</v>
      </c>
      <c r="I27" s="55" t="s">
        <v>274</v>
      </c>
      <c r="J27" s="52" t="s">
        <v>182</v>
      </c>
      <c r="K27" s="52" t="s">
        <v>174</v>
      </c>
      <c r="L27" s="52" t="s">
        <v>331</v>
      </c>
      <c r="M27" s="68">
        <v>1</v>
      </c>
      <c r="N27" s="67" t="s">
        <v>220</v>
      </c>
      <c r="O27" s="78" t="str">
        <f t="shared" si="4"/>
        <v>ü</v>
      </c>
      <c r="P27" s="52" t="s">
        <v>116</v>
      </c>
      <c r="Q27" s="52" t="s">
        <v>118</v>
      </c>
      <c r="R27" s="52"/>
      <c r="S27" s="52"/>
      <c r="T27" s="52"/>
      <c r="U27" s="52" t="s">
        <v>96</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390</v>
      </c>
      <c r="D28" s="56">
        <v>2.4</v>
      </c>
      <c r="E28" s="56" t="s">
        <v>178</v>
      </c>
      <c r="F28" s="56"/>
      <c r="G28" s="52" t="s">
        <v>202</v>
      </c>
      <c r="H28" s="56">
        <v>3</v>
      </c>
      <c r="I28" s="57" t="s">
        <v>210</v>
      </c>
      <c r="J28" s="56" t="s">
        <v>182</v>
      </c>
      <c r="K28" s="56" t="s">
        <v>174</v>
      </c>
      <c r="L28" s="52" t="s">
        <v>331</v>
      </c>
      <c r="M28" s="68"/>
      <c r="N28" s="67"/>
      <c r="O28" s="78" t="str">
        <f t="shared" si="4"/>
        <v/>
      </c>
      <c r="P28" s="56" t="s">
        <v>116</v>
      </c>
      <c r="Q28" s="56" t="s">
        <v>131</v>
      </c>
      <c r="R28" s="56"/>
      <c r="S28" s="56"/>
      <c r="T28" s="56"/>
      <c r="U28" s="56" t="s">
        <v>96</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390</v>
      </c>
      <c r="D29" s="52">
        <v>2.4</v>
      </c>
      <c r="E29" s="52" t="s">
        <v>178</v>
      </c>
      <c r="F29" s="52"/>
      <c r="G29" s="52" t="s">
        <v>28</v>
      </c>
      <c r="H29" s="52">
        <v>4</v>
      </c>
      <c r="I29" s="55" t="s">
        <v>275</v>
      </c>
      <c r="J29" s="52" t="s">
        <v>182</v>
      </c>
      <c r="K29" s="52" t="s">
        <v>174</v>
      </c>
      <c r="L29" s="52" t="s">
        <v>331</v>
      </c>
      <c r="M29" s="68"/>
      <c r="N29" s="67"/>
      <c r="O29" s="78" t="str">
        <f t="shared" si="4"/>
        <v/>
      </c>
      <c r="P29" s="52" t="s">
        <v>116</v>
      </c>
      <c r="Q29" s="52" t="s">
        <v>117</v>
      </c>
      <c r="R29" s="52"/>
      <c r="S29" s="52"/>
      <c r="T29" s="52"/>
      <c r="U29" s="52" t="s">
        <v>96</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390</v>
      </c>
      <c r="D30" s="52">
        <v>2.4</v>
      </c>
      <c r="E30" s="52" t="s">
        <v>178</v>
      </c>
      <c r="F30" s="52"/>
      <c r="G30" s="52" t="s">
        <v>28</v>
      </c>
      <c r="H30" s="52">
        <v>5</v>
      </c>
      <c r="I30" s="55" t="s">
        <v>276</v>
      </c>
      <c r="J30" s="52" t="s">
        <v>182</v>
      </c>
      <c r="K30" s="52" t="s">
        <v>174</v>
      </c>
      <c r="L30" s="52" t="s">
        <v>331</v>
      </c>
      <c r="M30" s="68"/>
      <c r="N30" s="67"/>
      <c r="O30" s="78" t="str">
        <f t="shared" si="4"/>
        <v/>
      </c>
      <c r="P30" s="52" t="s">
        <v>116</v>
      </c>
      <c r="Q30" s="52" t="s">
        <v>277</v>
      </c>
      <c r="R30" s="52"/>
      <c r="S30" s="52"/>
      <c r="T30" s="52"/>
      <c r="U30" s="52" t="s">
        <v>96</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390</v>
      </c>
      <c r="D31" s="52">
        <v>3</v>
      </c>
      <c r="E31" s="52" t="s">
        <v>179</v>
      </c>
      <c r="F31" s="52"/>
      <c r="G31" s="52" t="s">
        <v>202</v>
      </c>
      <c r="H31" s="52"/>
      <c r="I31" s="52"/>
      <c r="J31" s="52" t="s">
        <v>182</v>
      </c>
      <c r="K31" s="52" t="s">
        <v>576</v>
      </c>
      <c r="L31" s="52" t="s">
        <v>331</v>
      </c>
      <c r="M31" s="68"/>
      <c r="N31" s="67" t="s">
        <v>220</v>
      </c>
      <c r="O31" s="78" t="str">
        <f t="shared" si="4"/>
        <v>ü</v>
      </c>
      <c r="P31" s="52" t="s">
        <v>238</v>
      </c>
      <c r="Q31" s="52" t="s">
        <v>396</v>
      </c>
      <c r="R31" s="52" t="s">
        <v>390</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390</v>
      </c>
      <c r="D32" s="52">
        <v>2.6</v>
      </c>
      <c r="E32" s="52" t="s">
        <v>180</v>
      </c>
      <c r="F32" s="52"/>
      <c r="G32" s="52" t="s">
        <v>202</v>
      </c>
      <c r="H32" s="52"/>
      <c r="I32" s="52"/>
      <c r="J32" s="52" t="s">
        <v>576</v>
      </c>
      <c r="K32" s="52" t="s">
        <v>536</v>
      </c>
      <c r="L32" s="52" t="s">
        <v>331</v>
      </c>
      <c r="M32" s="68"/>
      <c r="N32" s="67"/>
      <c r="O32" s="78" t="str">
        <f t="shared" si="4"/>
        <v/>
      </c>
      <c r="P32" s="52" t="s">
        <v>239</v>
      </c>
      <c r="Q32" s="52" t="s">
        <v>397</v>
      </c>
      <c r="R32" s="52" t="s">
        <v>390</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390</v>
      </c>
      <c r="D33" s="52">
        <v>2.7</v>
      </c>
      <c r="E33" s="52" t="s">
        <v>181</v>
      </c>
      <c r="F33" s="52"/>
      <c r="G33" s="52" t="s">
        <v>202</v>
      </c>
      <c r="H33" s="52"/>
      <c r="I33" s="52"/>
      <c r="J33" s="52" t="s">
        <v>182</v>
      </c>
      <c r="K33" s="52" t="s">
        <v>576</v>
      </c>
      <c r="L33" s="52" t="s">
        <v>331</v>
      </c>
      <c r="M33" s="68"/>
      <c r="N33" s="67"/>
      <c r="O33" s="78" t="str">
        <f t="shared" si="4"/>
        <v/>
      </c>
      <c r="P33" s="52" t="s">
        <v>239</v>
      </c>
      <c r="Q33" s="52" t="s">
        <v>334</v>
      </c>
      <c r="R33" s="52" t="s">
        <v>390</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390</v>
      </c>
      <c r="D34" s="52">
        <v>4</v>
      </c>
      <c r="E34" s="52" t="s">
        <v>185</v>
      </c>
      <c r="F34" s="52"/>
      <c r="G34" s="52" t="s">
        <v>202</v>
      </c>
      <c r="H34" s="52"/>
      <c r="I34" s="122"/>
      <c r="J34" s="52" t="s">
        <v>576</v>
      </c>
      <c r="K34" s="52" t="s">
        <v>182</v>
      </c>
      <c r="L34" s="52" t="s">
        <v>331</v>
      </c>
      <c r="M34" s="68"/>
      <c r="N34" s="67"/>
      <c r="O34" s="78" t="str">
        <f t="shared" si="4"/>
        <v/>
      </c>
      <c r="P34" s="52" t="s">
        <v>240</v>
      </c>
      <c r="Q34" s="52" t="s">
        <v>399</v>
      </c>
      <c r="R34" s="52" t="s">
        <v>398</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390</v>
      </c>
      <c r="D35" s="52">
        <v>3.1</v>
      </c>
      <c r="E35" s="52" t="s">
        <v>185</v>
      </c>
      <c r="F35" s="52"/>
      <c r="G35" s="52" t="s">
        <v>28</v>
      </c>
      <c r="H35" s="52">
        <v>1</v>
      </c>
      <c r="I35" s="123" t="s">
        <v>458</v>
      </c>
      <c r="J35" s="52" t="s">
        <v>182</v>
      </c>
      <c r="K35" s="52" t="s">
        <v>388</v>
      </c>
      <c r="L35" s="52" t="s">
        <v>331</v>
      </c>
      <c r="M35" s="68"/>
      <c r="N35" s="67"/>
      <c r="O35" s="78" t="str">
        <f t="shared" si="4"/>
        <v/>
      </c>
      <c r="P35" s="52" t="s">
        <v>31</v>
      </c>
      <c r="Q35" s="52" t="s">
        <v>562</v>
      </c>
      <c r="R35" s="52" t="s">
        <v>121</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390</v>
      </c>
      <c r="D36" s="52">
        <v>3.1</v>
      </c>
      <c r="E36" s="52" t="s">
        <v>185</v>
      </c>
      <c r="F36" s="52"/>
      <c r="G36" s="52" t="s">
        <v>584</v>
      </c>
      <c r="H36" s="52">
        <v>1</v>
      </c>
      <c r="I36" s="52" t="s">
        <v>471</v>
      </c>
      <c r="J36" s="52" t="s">
        <v>314</v>
      </c>
      <c r="K36" s="52" t="s">
        <v>472</v>
      </c>
      <c r="L36" s="52" t="s">
        <v>331</v>
      </c>
      <c r="M36" s="68"/>
      <c r="N36" s="67" t="s">
        <v>220</v>
      </c>
      <c r="O36" s="78" t="str">
        <f t="shared" si="4"/>
        <v>ü</v>
      </c>
      <c r="P36" s="52" t="s">
        <v>14</v>
      </c>
      <c r="Q36" s="8" t="s">
        <v>111</v>
      </c>
      <c r="R36" s="52"/>
      <c r="S36" s="52"/>
      <c r="T36" s="52"/>
      <c r="U36" s="52" t="s">
        <v>97</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390</v>
      </c>
      <c r="D37" s="52">
        <v>3.1</v>
      </c>
      <c r="E37" s="52" t="s">
        <v>185</v>
      </c>
      <c r="F37" s="52"/>
      <c r="G37" s="52" t="s">
        <v>584</v>
      </c>
      <c r="H37" s="52">
        <v>2</v>
      </c>
      <c r="I37" s="52" t="s">
        <v>473</v>
      </c>
      <c r="J37" s="52" t="s">
        <v>314</v>
      </c>
      <c r="K37" s="52" t="s">
        <v>182</v>
      </c>
      <c r="L37" s="52" t="s">
        <v>331</v>
      </c>
      <c r="M37" s="68"/>
      <c r="N37" s="67"/>
      <c r="O37" s="78" t="str">
        <f t="shared" si="4"/>
        <v/>
      </c>
      <c r="P37" s="52" t="s">
        <v>111</v>
      </c>
      <c r="Q37" s="8" t="s">
        <v>126</v>
      </c>
      <c r="R37" s="52"/>
      <c r="S37" s="52"/>
      <c r="T37" s="52"/>
      <c r="U37" s="52" t="s">
        <v>97</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390</v>
      </c>
      <c r="D38" s="52">
        <v>3.1</v>
      </c>
      <c r="E38" s="52" t="s">
        <v>185</v>
      </c>
      <c r="F38" s="52"/>
      <c r="G38" s="52" t="s">
        <v>584</v>
      </c>
      <c r="H38" s="52">
        <v>3</v>
      </c>
      <c r="I38" s="52" t="s">
        <v>474</v>
      </c>
      <c r="J38" s="52" t="s">
        <v>182</v>
      </c>
      <c r="K38" s="52" t="s">
        <v>174</v>
      </c>
      <c r="L38" s="52" t="s">
        <v>331</v>
      </c>
      <c r="M38" s="68"/>
      <c r="N38" s="67"/>
      <c r="O38" s="78" t="str">
        <f t="shared" si="4"/>
        <v/>
      </c>
      <c r="P38" s="52" t="s">
        <v>126</v>
      </c>
      <c r="Q38" s="8" t="s">
        <v>126</v>
      </c>
      <c r="R38" s="52"/>
      <c r="S38" s="52"/>
      <c r="T38" s="52"/>
      <c r="U38" s="52" t="s">
        <v>97</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390</v>
      </c>
      <c r="D39" s="52">
        <v>3.1</v>
      </c>
      <c r="E39" s="52" t="s">
        <v>185</v>
      </c>
      <c r="F39" s="52"/>
      <c r="G39" s="52" t="s">
        <v>584</v>
      </c>
      <c r="H39" s="52">
        <v>4</v>
      </c>
      <c r="I39" s="52" t="s">
        <v>475</v>
      </c>
      <c r="J39" s="52" t="s">
        <v>314</v>
      </c>
      <c r="K39" s="52" t="s">
        <v>182</v>
      </c>
      <c r="L39" s="52" t="s">
        <v>331</v>
      </c>
      <c r="M39" s="68"/>
      <c r="N39" s="67"/>
      <c r="O39" s="78" t="str">
        <f t="shared" si="4"/>
        <v/>
      </c>
      <c r="P39" s="52" t="s">
        <v>111</v>
      </c>
      <c r="Q39" s="8" t="s">
        <v>111</v>
      </c>
      <c r="R39" s="52"/>
      <c r="S39" s="52"/>
      <c r="T39" s="52"/>
      <c r="U39" s="52" t="s">
        <v>97</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390</v>
      </c>
      <c r="D40" s="52">
        <v>3.1</v>
      </c>
      <c r="E40" s="52" t="s">
        <v>185</v>
      </c>
      <c r="F40" s="56"/>
      <c r="G40" s="52" t="s">
        <v>28</v>
      </c>
      <c r="H40" s="56">
        <v>2</v>
      </c>
      <c r="I40" s="56" t="s">
        <v>568</v>
      </c>
      <c r="J40" s="52" t="s">
        <v>314</v>
      </c>
      <c r="K40" s="52" t="s">
        <v>388</v>
      </c>
      <c r="L40" s="52" t="s">
        <v>331</v>
      </c>
      <c r="M40" s="68"/>
      <c r="N40" s="67"/>
      <c r="O40" s="78" t="str">
        <f t="shared" si="4"/>
        <v/>
      </c>
      <c r="P40" s="52" t="s">
        <v>31</v>
      </c>
      <c r="Q40" s="52" t="s">
        <v>565</v>
      </c>
      <c r="R40" s="52" t="s">
        <v>121</v>
      </c>
      <c r="S40" s="52"/>
      <c r="T40" s="52"/>
      <c r="U40" s="52" t="s">
        <v>95</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390</v>
      </c>
      <c r="D41" s="52">
        <v>3.1</v>
      </c>
      <c r="E41" s="52" t="s">
        <v>185</v>
      </c>
      <c r="F41" s="56"/>
      <c r="G41" s="52" t="s">
        <v>28</v>
      </c>
      <c r="H41" s="56">
        <v>8</v>
      </c>
      <c r="I41" s="58" t="s">
        <v>529</v>
      </c>
      <c r="J41" s="52" t="s">
        <v>388</v>
      </c>
      <c r="K41" s="52" t="s">
        <v>388</v>
      </c>
      <c r="L41" s="52" t="s">
        <v>331</v>
      </c>
      <c r="M41" s="68"/>
      <c r="N41" s="67"/>
      <c r="O41" s="78" t="str">
        <f t="shared" si="4"/>
        <v/>
      </c>
      <c r="P41" s="52" t="s">
        <v>31</v>
      </c>
      <c r="Q41" s="52" t="s">
        <v>122</v>
      </c>
      <c r="R41" s="52" t="s">
        <v>95</v>
      </c>
      <c r="S41" s="52"/>
      <c r="T41" s="52"/>
      <c r="U41" s="52" t="s">
        <v>95</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390</v>
      </c>
      <c r="D42" s="52">
        <v>3</v>
      </c>
      <c r="E42" s="52" t="s">
        <v>185</v>
      </c>
      <c r="F42" s="56"/>
      <c r="G42" s="52" t="s">
        <v>28</v>
      </c>
      <c r="H42" s="56">
        <v>3</v>
      </c>
      <c r="I42" s="56" t="s">
        <v>458</v>
      </c>
      <c r="J42" s="52" t="s">
        <v>182</v>
      </c>
      <c r="K42" s="52" t="s">
        <v>388</v>
      </c>
      <c r="L42" s="52" t="s">
        <v>331</v>
      </c>
      <c r="M42" s="68"/>
      <c r="N42" s="67" t="s">
        <v>220</v>
      </c>
      <c r="O42" s="78" t="str">
        <f t="shared" si="4"/>
        <v>ü</v>
      </c>
      <c r="P42" s="52" t="s">
        <v>115</v>
      </c>
      <c r="Q42" s="52" t="s">
        <v>563</v>
      </c>
      <c r="R42" s="52" t="s">
        <v>121</v>
      </c>
      <c r="S42" s="52"/>
      <c r="T42" s="52"/>
      <c r="U42" s="52" t="s">
        <v>95</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390</v>
      </c>
      <c r="D43" s="52">
        <v>4</v>
      </c>
      <c r="E43" s="52" t="s">
        <v>186</v>
      </c>
      <c r="F43" s="52"/>
      <c r="G43" s="52" t="s">
        <v>202</v>
      </c>
      <c r="H43" s="52"/>
      <c r="I43" s="52"/>
      <c r="J43" s="52" t="s">
        <v>201</v>
      </c>
      <c r="K43" s="52" t="s">
        <v>579</v>
      </c>
      <c r="L43" s="52" t="s">
        <v>331</v>
      </c>
      <c r="M43" s="68"/>
      <c r="N43" s="67"/>
      <c r="O43" s="78" t="str">
        <f t="shared" si="4"/>
        <v/>
      </c>
      <c r="P43" s="52" t="s">
        <v>240</v>
      </c>
      <c r="Q43" s="52" t="s">
        <v>400</v>
      </c>
      <c r="R43" s="52" t="s">
        <v>398</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390</v>
      </c>
      <c r="D44" s="52">
        <v>4</v>
      </c>
      <c r="E44" s="52" t="s">
        <v>187</v>
      </c>
      <c r="F44" s="52"/>
      <c r="G44" s="52" t="s">
        <v>202</v>
      </c>
      <c r="H44" s="52"/>
      <c r="I44" s="52"/>
      <c r="J44" s="52" t="s">
        <v>201</v>
      </c>
      <c r="K44" s="52" t="s">
        <v>182</v>
      </c>
      <c r="L44" s="52" t="s">
        <v>331</v>
      </c>
      <c r="M44" s="68"/>
      <c r="N44" s="67"/>
      <c r="O44" s="78" t="str">
        <f t="shared" ref="O44:O65" si="12">IF(N44="No","û",IF(N44="Si","ü",IF(N44="NA","l","")))</f>
        <v/>
      </c>
      <c r="P44" s="52" t="s">
        <v>400</v>
      </c>
      <c r="Q44" s="52" t="s">
        <v>401</v>
      </c>
      <c r="R44" s="52" t="s">
        <v>398</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390</v>
      </c>
      <c r="D45" s="60">
        <v>5</v>
      </c>
      <c r="E45" s="60" t="s">
        <v>538</v>
      </c>
      <c r="F45" s="60"/>
      <c r="G45" s="52" t="s">
        <v>202</v>
      </c>
      <c r="H45" s="60"/>
      <c r="I45" s="60"/>
      <c r="J45" s="60" t="s">
        <v>182</v>
      </c>
      <c r="K45" s="60" t="s">
        <v>174</v>
      </c>
      <c r="L45" s="60" t="s">
        <v>550</v>
      </c>
      <c r="M45" s="80"/>
      <c r="N45" s="81"/>
      <c r="O45" s="78" t="str">
        <f t="shared" si="12"/>
        <v/>
      </c>
      <c r="P45" s="124" t="s">
        <v>260</v>
      </c>
      <c r="Q45" s="60" t="s">
        <v>551</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390</v>
      </c>
      <c r="D46" s="60">
        <v>3.2</v>
      </c>
      <c r="E46" s="60" t="s">
        <v>187</v>
      </c>
      <c r="F46" s="79"/>
      <c r="G46" s="52" t="s">
        <v>28</v>
      </c>
      <c r="H46" s="79">
        <v>6</v>
      </c>
      <c r="I46" s="79" t="s">
        <v>564</v>
      </c>
      <c r="J46" s="60" t="s">
        <v>388</v>
      </c>
      <c r="K46" s="60" t="s">
        <v>182</v>
      </c>
      <c r="L46" s="60" t="s">
        <v>331</v>
      </c>
      <c r="M46" s="80"/>
      <c r="N46" s="81"/>
      <c r="O46" s="78" t="str">
        <f t="shared" si="12"/>
        <v/>
      </c>
      <c r="P46" s="52" t="s">
        <v>115</v>
      </c>
      <c r="Q46" s="52" t="s">
        <v>567</v>
      </c>
      <c r="R46" s="60" t="s">
        <v>121</v>
      </c>
      <c r="S46" s="60"/>
      <c r="T46" s="60"/>
      <c r="U46" s="52" t="s">
        <v>95</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175</v>
      </c>
      <c r="C47" s="93"/>
      <c r="D47" s="93"/>
      <c r="E47" s="93"/>
      <c r="F47" s="93"/>
      <c r="G47" s="93"/>
      <c r="H47" s="93"/>
      <c r="I47" s="93"/>
      <c r="J47" s="93"/>
      <c r="K47" s="93"/>
      <c r="L47" s="93"/>
      <c r="M47" s="93"/>
      <c r="N47" s="105" t="s">
        <v>521</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175</v>
      </c>
      <c r="D48" s="73">
        <v>1</v>
      </c>
      <c r="E48" s="73" t="s">
        <v>539</v>
      </c>
      <c r="F48" s="73"/>
      <c r="G48" s="52" t="s">
        <v>202</v>
      </c>
      <c r="H48" s="73"/>
      <c r="I48" s="73"/>
      <c r="J48" s="73" t="s">
        <v>576</v>
      </c>
      <c r="K48" s="73" t="s">
        <v>404</v>
      </c>
      <c r="L48" s="73" t="s">
        <v>331</v>
      </c>
      <c r="M48" s="76">
        <v>2</v>
      </c>
      <c r="N48" s="83" t="s">
        <v>220</v>
      </c>
      <c r="O48" s="69" t="str">
        <f t="shared" si="12"/>
        <v>ü</v>
      </c>
      <c r="P48" s="73" t="s">
        <v>405</v>
      </c>
      <c r="Q48" s="73" t="s">
        <v>540</v>
      </c>
      <c r="R48" s="73"/>
      <c r="S48" s="73"/>
      <c r="T48" s="73"/>
      <c r="U48" s="73" t="s">
        <v>98</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175</v>
      </c>
      <c r="D49" s="52">
        <v>2.1</v>
      </c>
      <c r="E49" s="52" t="s">
        <v>177</v>
      </c>
      <c r="F49" s="52"/>
      <c r="G49" s="52" t="s">
        <v>202</v>
      </c>
      <c r="H49" s="52"/>
      <c r="I49" s="52"/>
      <c r="J49" s="52" t="s">
        <v>182</v>
      </c>
      <c r="K49" s="52" t="s">
        <v>576</v>
      </c>
      <c r="L49" s="52" t="s">
        <v>331</v>
      </c>
      <c r="M49" s="68">
        <v>1</v>
      </c>
      <c r="N49" s="83" t="s">
        <v>220</v>
      </c>
      <c r="O49" s="70" t="str">
        <f t="shared" si="12"/>
        <v>ü</v>
      </c>
      <c r="P49" s="52" t="s">
        <v>541</v>
      </c>
      <c r="Q49" s="52" t="s">
        <v>542</v>
      </c>
      <c r="R49" s="52" t="s">
        <v>176</v>
      </c>
      <c r="S49" s="52"/>
      <c r="T49" s="52"/>
      <c r="U49" s="52" t="s">
        <v>98</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175</v>
      </c>
      <c r="D50" s="52">
        <v>2.1</v>
      </c>
      <c r="E50" s="52" t="s">
        <v>177</v>
      </c>
      <c r="F50" s="52"/>
      <c r="G50" s="52" t="s">
        <v>453</v>
      </c>
      <c r="H50" s="52">
        <v>1</v>
      </c>
      <c r="I50" s="52" t="s">
        <v>268</v>
      </c>
      <c r="J50" s="52" t="s">
        <v>576</v>
      </c>
      <c r="K50" s="52" t="s">
        <v>536</v>
      </c>
      <c r="L50" s="52" t="s">
        <v>331</v>
      </c>
      <c r="M50" s="68">
        <v>1</v>
      </c>
      <c r="N50" s="83" t="s">
        <v>220</v>
      </c>
      <c r="O50" s="70" t="str">
        <f t="shared" si="12"/>
        <v>ü</v>
      </c>
      <c r="P50" s="52" t="s">
        <v>167</v>
      </c>
      <c r="Q50" s="52" t="s">
        <v>107</v>
      </c>
      <c r="R50" s="52"/>
      <c r="S50" s="52"/>
      <c r="T50" s="52"/>
      <c r="U50" s="52" t="s">
        <v>108</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175</v>
      </c>
      <c r="D51" s="52">
        <v>2.2000000000000002</v>
      </c>
      <c r="E51" s="52" t="s">
        <v>183</v>
      </c>
      <c r="F51" s="52"/>
      <c r="G51" s="52" t="s">
        <v>202</v>
      </c>
      <c r="H51" s="52"/>
      <c r="I51" s="52"/>
      <c r="J51" s="52" t="s">
        <v>182</v>
      </c>
      <c r="K51" s="52" t="s">
        <v>201</v>
      </c>
      <c r="L51" s="52" t="s">
        <v>331</v>
      </c>
      <c r="M51" s="68"/>
      <c r="N51" s="83"/>
      <c r="O51" s="70" t="str">
        <f t="shared" si="12"/>
        <v/>
      </c>
      <c r="P51" s="52" t="s">
        <v>244</v>
      </c>
      <c r="Q51" s="52" t="s">
        <v>406</v>
      </c>
      <c r="R51" s="52" t="s">
        <v>176</v>
      </c>
      <c r="S51" s="52"/>
      <c r="T51" s="52"/>
      <c r="U51" s="52" t="s">
        <v>98</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175</v>
      </c>
      <c r="D52" s="52">
        <v>2.2999999999999998</v>
      </c>
      <c r="E52" s="52" t="s">
        <v>184</v>
      </c>
      <c r="F52" s="52"/>
      <c r="G52" s="52" t="s">
        <v>202</v>
      </c>
      <c r="H52" s="52"/>
      <c r="I52" s="52"/>
      <c r="J52" s="52" t="s">
        <v>182</v>
      </c>
      <c r="K52" s="52" t="s">
        <v>577</v>
      </c>
      <c r="L52" s="52" t="s">
        <v>331</v>
      </c>
      <c r="M52" s="68"/>
      <c r="N52" s="83"/>
      <c r="O52" s="70" t="str">
        <f t="shared" si="12"/>
        <v/>
      </c>
      <c r="P52" s="52" t="s">
        <v>245</v>
      </c>
      <c r="Q52" s="52" t="s">
        <v>457</v>
      </c>
      <c r="R52" s="52" t="s">
        <v>176</v>
      </c>
      <c r="S52" s="52"/>
      <c r="T52" s="52"/>
      <c r="U52" s="52" t="s">
        <v>98</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175</v>
      </c>
      <c r="D53" s="52">
        <v>2.2999999999999998</v>
      </c>
      <c r="E53" s="52" t="s">
        <v>184</v>
      </c>
      <c r="F53" s="52"/>
      <c r="G53" s="52" t="s">
        <v>453</v>
      </c>
      <c r="H53" s="52">
        <v>2</v>
      </c>
      <c r="I53" s="52" t="s">
        <v>454</v>
      </c>
      <c r="J53" s="52" t="s">
        <v>182</v>
      </c>
      <c r="K53" s="52" t="s">
        <v>201</v>
      </c>
      <c r="L53" s="52" t="s">
        <v>331</v>
      </c>
      <c r="M53" s="68"/>
      <c r="N53" s="83"/>
      <c r="O53" s="70" t="str">
        <f t="shared" si="12"/>
        <v/>
      </c>
      <c r="P53" s="52" t="s">
        <v>107</v>
      </c>
      <c r="Q53" s="52" t="s">
        <v>109</v>
      </c>
      <c r="R53" s="52"/>
      <c r="S53" s="52"/>
      <c r="T53" s="52"/>
      <c r="U53" s="52" t="s">
        <v>108</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175</v>
      </c>
      <c r="D54" s="52">
        <v>2.2999999999999998</v>
      </c>
      <c r="E54" s="52" t="s">
        <v>184</v>
      </c>
      <c r="F54" s="52"/>
      <c r="G54" s="52" t="s">
        <v>453</v>
      </c>
      <c r="H54" s="52">
        <v>3</v>
      </c>
      <c r="I54" s="52" t="s">
        <v>455</v>
      </c>
      <c r="J54" s="52" t="s">
        <v>182</v>
      </c>
      <c r="K54" s="52" t="s">
        <v>201</v>
      </c>
      <c r="L54" s="52" t="s">
        <v>331</v>
      </c>
      <c r="M54" s="68"/>
      <c r="N54" s="83"/>
      <c r="O54" s="70" t="str">
        <f t="shared" si="12"/>
        <v/>
      </c>
      <c r="P54" s="52" t="s">
        <v>109</v>
      </c>
      <c r="Q54" s="52" t="s">
        <v>123</v>
      </c>
      <c r="R54" s="52"/>
      <c r="S54" s="52"/>
      <c r="T54" s="52"/>
      <c r="U54" s="52" t="s">
        <v>108</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175</v>
      </c>
      <c r="D55" s="52">
        <v>2.2999999999999998</v>
      </c>
      <c r="E55" s="52" t="s">
        <v>184</v>
      </c>
      <c r="F55" s="52"/>
      <c r="G55" s="52" t="s">
        <v>453</v>
      </c>
      <c r="H55" s="52">
        <v>5</v>
      </c>
      <c r="I55" s="52" t="s">
        <v>262</v>
      </c>
      <c r="J55" s="52" t="s">
        <v>201</v>
      </c>
      <c r="K55" s="52" t="s">
        <v>182</v>
      </c>
      <c r="L55" s="52" t="s">
        <v>331</v>
      </c>
      <c r="M55" s="68"/>
      <c r="N55" s="83"/>
      <c r="O55" s="70" t="str">
        <f t="shared" si="12"/>
        <v/>
      </c>
      <c r="P55" s="52" t="s">
        <v>165</v>
      </c>
      <c r="Q55" s="52" t="s">
        <v>124</v>
      </c>
      <c r="R55" s="52"/>
      <c r="S55" s="52"/>
      <c r="T55" s="52"/>
      <c r="U55" s="52" t="s">
        <v>108</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175</v>
      </c>
      <c r="D56" s="52">
        <v>2.4</v>
      </c>
      <c r="E56" s="52" t="s">
        <v>178</v>
      </c>
      <c r="F56" s="52"/>
      <c r="G56" s="52" t="s">
        <v>202</v>
      </c>
      <c r="H56" s="52"/>
      <c r="I56" s="52"/>
      <c r="J56" s="52" t="s">
        <v>182</v>
      </c>
      <c r="K56" s="52" t="s">
        <v>580</v>
      </c>
      <c r="L56" s="52" t="s">
        <v>331</v>
      </c>
      <c r="M56" s="68"/>
      <c r="N56" s="83"/>
      <c r="O56" s="70" t="str">
        <f t="shared" si="12"/>
        <v/>
      </c>
      <c r="P56" s="52" t="s">
        <v>243</v>
      </c>
      <c r="Q56" s="52" t="s">
        <v>407</v>
      </c>
      <c r="R56" s="52" t="s">
        <v>176</v>
      </c>
      <c r="S56" s="52"/>
      <c r="T56" s="52"/>
      <c r="U56" s="52" t="s">
        <v>98</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175</v>
      </c>
      <c r="D57" s="52">
        <v>2.4</v>
      </c>
      <c r="E57" s="52" t="s">
        <v>178</v>
      </c>
      <c r="F57" s="52"/>
      <c r="G57" s="52" t="s">
        <v>202</v>
      </c>
      <c r="H57" s="52">
        <v>1</v>
      </c>
      <c r="I57" s="55" t="s">
        <v>274</v>
      </c>
      <c r="J57" s="52" t="s">
        <v>182</v>
      </c>
      <c r="K57" s="52" t="s">
        <v>174</v>
      </c>
      <c r="L57" s="52" t="s">
        <v>331</v>
      </c>
      <c r="M57" s="68"/>
      <c r="N57" s="83"/>
      <c r="O57" s="70" t="str">
        <f t="shared" si="12"/>
        <v/>
      </c>
      <c r="P57" s="52" t="s">
        <v>116</v>
      </c>
      <c r="Q57" s="52" t="s">
        <v>118</v>
      </c>
      <c r="R57" s="52"/>
      <c r="S57" s="52"/>
      <c r="T57" s="52"/>
      <c r="U57" s="52" t="s">
        <v>96</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175</v>
      </c>
      <c r="D58" s="56">
        <v>2.4</v>
      </c>
      <c r="E58" s="56" t="s">
        <v>178</v>
      </c>
      <c r="F58" s="56"/>
      <c r="G58" s="52" t="s">
        <v>202</v>
      </c>
      <c r="H58" s="56">
        <v>3</v>
      </c>
      <c r="I58" s="57" t="s">
        <v>210</v>
      </c>
      <c r="J58" s="56" t="s">
        <v>182</v>
      </c>
      <c r="K58" s="56" t="s">
        <v>174</v>
      </c>
      <c r="L58" s="52" t="s">
        <v>331</v>
      </c>
      <c r="M58" s="68"/>
      <c r="N58" s="67"/>
      <c r="O58" s="70" t="str">
        <f t="shared" si="12"/>
        <v/>
      </c>
      <c r="P58" s="56" t="s">
        <v>116</v>
      </c>
      <c r="Q58" s="56" t="s">
        <v>131</v>
      </c>
      <c r="R58" s="56"/>
      <c r="S58" s="56"/>
      <c r="T58" s="56"/>
      <c r="U58" s="56" t="s">
        <v>96</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175</v>
      </c>
      <c r="D59" s="52">
        <v>2.4</v>
      </c>
      <c r="E59" s="52" t="s">
        <v>178</v>
      </c>
      <c r="F59" s="52"/>
      <c r="G59" s="52" t="s">
        <v>202</v>
      </c>
      <c r="H59" s="52">
        <v>4</v>
      </c>
      <c r="I59" s="55" t="s">
        <v>275</v>
      </c>
      <c r="J59" s="52" t="s">
        <v>182</v>
      </c>
      <c r="K59" s="52" t="s">
        <v>174</v>
      </c>
      <c r="L59" s="52" t="s">
        <v>331</v>
      </c>
      <c r="M59" s="68"/>
      <c r="N59" s="83"/>
      <c r="O59" s="70" t="str">
        <f t="shared" si="12"/>
        <v/>
      </c>
      <c r="P59" s="52" t="s">
        <v>116</v>
      </c>
      <c r="Q59" s="52" t="s">
        <v>117</v>
      </c>
      <c r="R59" s="52"/>
      <c r="S59" s="52"/>
      <c r="T59" s="52"/>
      <c r="U59" s="52" t="s">
        <v>96</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175</v>
      </c>
      <c r="D60" s="52">
        <v>2.4</v>
      </c>
      <c r="E60" s="52" t="s">
        <v>178</v>
      </c>
      <c r="F60" s="52"/>
      <c r="G60" s="52" t="s">
        <v>202</v>
      </c>
      <c r="H60" s="52">
        <v>5</v>
      </c>
      <c r="I60" s="55" t="s">
        <v>276</v>
      </c>
      <c r="J60" s="52" t="s">
        <v>182</v>
      </c>
      <c r="K60" s="52" t="s">
        <v>174</v>
      </c>
      <c r="L60" s="52" t="s">
        <v>331</v>
      </c>
      <c r="M60" s="68"/>
      <c r="N60" s="83"/>
      <c r="O60" s="70" t="str">
        <f t="shared" si="12"/>
        <v/>
      </c>
      <c r="P60" s="52" t="s">
        <v>116</v>
      </c>
      <c r="Q60" s="52" t="s">
        <v>277</v>
      </c>
      <c r="R60" s="52"/>
      <c r="S60" s="52"/>
      <c r="T60" s="52"/>
      <c r="U60" s="52" t="s">
        <v>96</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175</v>
      </c>
      <c r="D61" s="52">
        <v>2</v>
      </c>
      <c r="E61" s="52" t="s">
        <v>179</v>
      </c>
      <c r="F61" s="52"/>
      <c r="G61" s="52" t="s">
        <v>202</v>
      </c>
      <c r="H61" s="52"/>
      <c r="I61" s="52"/>
      <c r="J61" s="52" t="s">
        <v>182</v>
      </c>
      <c r="K61" s="52" t="s">
        <v>576</v>
      </c>
      <c r="L61" s="52" t="s">
        <v>331</v>
      </c>
      <c r="M61" s="68"/>
      <c r="N61" s="83"/>
      <c r="O61" s="70" t="str">
        <f t="shared" si="12"/>
        <v/>
      </c>
      <c r="P61" s="52" t="s">
        <v>243</v>
      </c>
      <c r="Q61" s="52" t="s">
        <v>408</v>
      </c>
      <c r="R61" s="52" t="s">
        <v>176</v>
      </c>
      <c r="S61" s="52"/>
      <c r="T61" s="52"/>
      <c r="U61" s="52" t="s">
        <v>98</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175</v>
      </c>
      <c r="D62" s="52">
        <v>2</v>
      </c>
      <c r="E62" s="52" t="s">
        <v>180</v>
      </c>
      <c r="F62" s="52"/>
      <c r="G62" s="52" t="s">
        <v>202</v>
      </c>
      <c r="H62" s="52"/>
      <c r="I62" s="52"/>
      <c r="J62" s="52" t="s">
        <v>182</v>
      </c>
      <c r="K62" s="52" t="s">
        <v>576</v>
      </c>
      <c r="L62" s="52" t="s">
        <v>331</v>
      </c>
      <c r="M62" s="68"/>
      <c r="N62" s="83"/>
      <c r="O62" s="70" t="str">
        <f t="shared" si="12"/>
        <v/>
      </c>
      <c r="P62" s="52" t="s">
        <v>246</v>
      </c>
      <c r="Q62" s="52" t="s">
        <v>409</v>
      </c>
      <c r="R62" s="52" t="s">
        <v>176</v>
      </c>
      <c r="S62" s="52"/>
      <c r="T62" s="52"/>
      <c r="U62" s="52" t="s">
        <v>98</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175</v>
      </c>
      <c r="D63" s="52">
        <v>2</v>
      </c>
      <c r="E63" s="52" t="s">
        <v>181</v>
      </c>
      <c r="F63" s="52"/>
      <c r="G63" s="52" t="s">
        <v>202</v>
      </c>
      <c r="H63" s="52"/>
      <c r="I63" s="52"/>
      <c r="J63" s="52" t="s">
        <v>182</v>
      </c>
      <c r="K63" s="52" t="s">
        <v>581</v>
      </c>
      <c r="L63" s="52" t="s">
        <v>331</v>
      </c>
      <c r="M63" s="68"/>
      <c r="N63" s="83"/>
      <c r="O63" s="70" t="str">
        <f t="shared" si="12"/>
        <v/>
      </c>
      <c r="P63" s="52" t="s">
        <v>247</v>
      </c>
      <c r="Q63" s="52" t="s">
        <v>152</v>
      </c>
      <c r="R63" s="52" t="s">
        <v>176</v>
      </c>
      <c r="S63" s="52"/>
      <c r="T63" s="52"/>
      <c r="U63" s="52" t="s">
        <v>98</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175</v>
      </c>
      <c r="D64" s="52">
        <v>2.7</v>
      </c>
      <c r="E64" s="52" t="s">
        <v>181</v>
      </c>
      <c r="F64" s="52" t="s">
        <v>282</v>
      </c>
      <c r="G64" s="52" t="s">
        <v>202</v>
      </c>
      <c r="H64" s="58">
        <v>1</v>
      </c>
      <c r="I64" s="59" t="s">
        <v>278</v>
      </c>
      <c r="J64" s="52" t="s">
        <v>182</v>
      </c>
      <c r="K64" s="52" t="s">
        <v>576</v>
      </c>
      <c r="L64" s="52" t="s">
        <v>331</v>
      </c>
      <c r="M64" s="68"/>
      <c r="N64" s="83"/>
      <c r="O64" s="70" t="str">
        <f t="shared" si="12"/>
        <v/>
      </c>
      <c r="P64" s="52"/>
      <c r="Q64" s="52" t="s">
        <v>280</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175</v>
      </c>
      <c r="D65" s="52">
        <v>3.1</v>
      </c>
      <c r="E65" s="52" t="s">
        <v>185</v>
      </c>
      <c r="F65" s="52" t="s">
        <v>282</v>
      </c>
      <c r="G65" s="52" t="s">
        <v>202</v>
      </c>
      <c r="H65" s="52"/>
      <c r="I65" s="52"/>
      <c r="J65" s="52" t="s">
        <v>576</v>
      </c>
      <c r="K65" s="52" t="s">
        <v>182</v>
      </c>
      <c r="L65" s="52" t="s">
        <v>331</v>
      </c>
      <c r="M65" s="68"/>
      <c r="N65" s="83"/>
      <c r="O65" s="70" t="str">
        <f t="shared" si="12"/>
        <v/>
      </c>
      <c r="P65" s="52" t="s">
        <v>248</v>
      </c>
      <c r="Q65" s="52" t="s">
        <v>492</v>
      </c>
      <c r="R65" s="52" t="s">
        <v>398</v>
      </c>
      <c r="S65" s="52"/>
      <c r="T65" s="52"/>
      <c r="U65" s="52" t="s">
        <v>98</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175</v>
      </c>
      <c r="D66" s="52">
        <v>3</v>
      </c>
      <c r="E66" s="52" t="s">
        <v>185</v>
      </c>
      <c r="F66" s="52"/>
      <c r="G66" s="52"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175</v>
      </c>
      <c r="D67" s="52">
        <v>3.1</v>
      </c>
      <c r="E67" s="52" t="s">
        <v>185</v>
      </c>
      <c r="F67" s="52" t="s">
        <v>282</v>
      </c>
      <c r="G67" s="52" t="s">
        <v>584</v>
      </c>
      <c r="H67" s="52">
        <v>1</v>
      </c>
      <c r="I67" s="52" t="s">
        <v>471</v>
      </c>
      <c r="J67" s="52" t="s">
        <v>314</v>
      </c>
      <c r="K67" s="52" t="s">
        <v>472</v>
      </c>
      <c r="L67" s="52" t="s">
        <v>331</v>
      </c>
      <c r="M67" s="68"/>
      <c r="N67" s="83"/>
      <c r="O67" s="70" t="str">
        <f t="shared" ref="O67:O72" si="21">IF(N67="No","û",IF(N67="Si","ü",IF(N67="NA","l","")))</f>
        <v/>
      </c>
      <c r="P67" s="52" t="s">
        <v>99</v>
      </c>
      <c r="Q67" s="8" t="s">
        <v>111</v>
      </c>
      <c r="R67" s="52"/>
      <c r="S67" s="52"/>
      <c r="T67" s="52"/>
      <c r="U67" s="52" t="s">
        <v>97</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175</v>
      </c>
      <c r="D68" s="52">
        <v>3.1</v>
      </c>
      <c r="E68" s="52" t="s">
        <v>185</v>
      </c>
      <c r="F68" s="52" t="s">
        <v>282</v>
      </c>
      <c r="G68" s="52" t="s">
        <v>584</v>
      </c>
      <c r="H68" s="52">
        <v>2</v>
      </c>
      <c r="I68" s="52" t="s">
        <v>473</v>
      </c>
      <c r="J68" s="52" t="s">
        <v>314</v>
      </c>
      <c r="K68" s="52" t="s">
        <v>182</v>
      </c>
      <c r="L68" s="52" t="s">
        <v>331</v>
      </c>
      <c r="M68" s="68"/>
      <c r="N68" s="83"/>
      <c r="O68" s="70" t="str">
        <f t="shared" si="21"/>
        <v/>
      </c>
      <c r="P68" s="52" t="s">
        <v>111</v>
      </c>
      <c r="Q68" s="8" t="s">
        <v>126</v>
      </c>
      <c r="R68" s="52"/>
      <c r="S68" s="52"/>
      <c r="T68" s="52"/>
      <c r="U68" s="52" t="s">
        <v>97</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175</v>
      </c>
      <c r="D69" s="52">
        <v>3.1</v>
      </c>
      <c r="E69" s="52" t="s">
        <v>185</v>
      </c>
      <c r="F69" s="52" t="s">
        <v>282</v>
      </c>
      <c r="G69" s="52" t="s">
        <v>584</v>
      </c>
      <c r="H69" s="52">
        <v>3</v>
      </c>
      <c r="I69" s="52" t="s">
        <v>474</v>
      </c>
      <c r="J69" s="52" t="s">
        <v>182</v>
      </c>
      <c r="K69" s="52" t="s">
        <v>314</v>
      </c>
      <c r="L69" s="52" t="s">
        <v>331</v>
      </c>
      <c r="M69" s="68"/>
      <c r="N69" s="83"/>
      <c r="O69" s="70" t="str">
        <f t="shared" si="21"/>
        <v/>
      </c>
      <c r="P69" s="52" t="s">
        <v>126</v>
      </c>
      <c r="Q69" s="8" t="s">
        <v>126</v>
      </c>
      <c r="R69" s="52"/>
      <c r="S69" s="52"/>
      <c r="T69" s="52"/>
      <c r="U69" s="52" t="s">
        <v>97</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175</v>
      </c>
      <c r="D70" s="52">
        <v>3.1</v>
      </c>
      <c r="E70" s="52" t="s">
        <v>185</v>
      </c>
      <c r="F70" s="52" t="s">
        <v>282</v>
      </c>
      <c r="G70" s="52" t="s">
        <v>584</v>
      </c>
      <c r="H70" s="52">
        <v>4</v>
      </c>
      <c r="I70" s="52" t="s">
        <v>475</v>
      </c>
      <c r="J70" s="52" t="s">
        <v>314</v>
      </c>
      <c r="K70" s="52" t="s">
        <v>182</v>
      </c>
      <c r="L70" s="52" t="s">
        <v>331</v>
      </c>
      <c r="M70" s="68"/>
      <c r="N70" s="83"/>
      <c r="O70" s="70" t="str">
        <f t="shared" si="21"/>
        <v/>
      </c>
      <c r="P70" s="52" t="s">
        <v>111</v>
      </c>
      <c r="Q70" s="8" t="s">
        <v>111</v>
      </c>
      <c r="R70" s="52"/>
      <c r="S70" s="52"/>
      <c r="T70" s="52"/>
      <c r="U70" s="52" t="s">
        <v>97</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175</v>
      </c>
      <c r="D71" s="52">
        <v>3.1</v>
      </c>
      <c r="E71" s="52" t="s">
        <v>185</v>
      </c>
      <c r="F71" s="52" t="s">
        <v>282</v>
      </c>
      <c r="G71" s="52" t="s">
        <v>28</v>
      </c>
      <c r="H71" s="56">
        <v>1</v>
      </c>
      <c r="I71" s="56" t="s">
        <v>458</v>
      </c>
      <c r="J71" s="52" t="s">
        <v>314</v>
      </c>
      <c r="K71" s="52" t="s">
        <v>182</v>
      </c>
      <c r="L71" s="52" t="s">
        <v>331</v>
      </c>
      <c r="M71" s="68"/>
      <c r="N71" s="83"/>
      <c r="O71" s="70" t="str">
        <f t="shared" si="21"/>
        <v/>
      </c>
      <c r="P71" s="52" t="s">
        <v>570</v>
      </c>
      <c r="Q71" s="52" t="s">
        <v>572</v>
      </c>
      <c r="R71" s="52" t="s">
        <v>128</v>
      </c>
      <c r="S71" s="52"/>
      <c r="T71" s="52"/>
      <c r="U71" s="52" t="s">
        <v>95</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175</v>
      </c>
      <c r="D72" s="52">
        <v>3.1</v>
      </c>
      <c r="E72" s="52" t="s">
        <v>185</v>
      </c>
      <c r="F72" s="52" t="s">
        <v>282</v>
      </c>
      <c r="G72" s="52" t="s">
        <v>28</v>
      </c>
      <c r="H72" s="56">
        <v>8</v>
      </c>
      <c r="I72" s="56" t="s">
        <v>529</v>
      </c>
      <c r="J72" s="52" t="s">
        <v>388</v>
      </c>
      <c r="K72" s="52" t="s">
        <v>182</v>
      </c>
      <c r="L72" s="52" t="s">
        <v>331</v>
      </c>
      <c r="M72" s="68"/>
      <c r="N72" s="83"/>
      <c r="O72" s="70" t="str">
        <f t="shared" si="21"/>
        <v/>
      </c>
      <c r="P72" s="52" t="s">
        <v>570</v>
      </c>
      <c r="Q72" s="52" t="s">
        <v>127</v>
      </c>
      <c r="R72" s="52" t="s">
        <v>128</v>
      </c>
      <c r="S72" s="52"/>
      <c r="T72" s="52"/>
      <c r="U72" s="52" t="s">
        <v>106</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175</v>
      </c>
      <c r="D73" s="52">
        <v>3.3</v>
      </c>
      <c r="E73" s="52" t="s">
        <v>187</v>
      </c>
      <c r="F73" s="52" t="s">
        <v>282</v>
      </c>
      <c r="G73" s="52"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175</v>
      </c>
      <c r="D74" s="52">
        <v>3.2</v>
      </c>
      <c r="E74" s="52" t="s">
        <v>186</v>
      </c>
      <c r="F74" s="52" t="s">
        <v>282</v>
      </c>
      <c r="G74" s="52" t="s">
        <v>453</v>
      </c>
      <c r="H74" s="52">
        <v>6</v>
      </c>
      <c r="I74" s="52" t="s">
        <v>269</v>
      </c>
      <c r="J74" s="52" t="s">
        <v>182</v>
      </c>
      <c r="K74" s="52" t="s">
        <v>201</v>
      </c>
      <c r="L74" s="52" t="s">
        <v>331</v>
      </c>
      <c r="M74" s="68"/>
      <c r="N74" s="83" t="s">
        <v>220</v>
      </c>
      <c r="O74" s="70" t="str">
        <f t="shared" ref="O74:O95" si="22">IF(N74="No","û",IF(N74="Si","ü",IF(N74="NA","l","")))</f>
        <v>ü</v>
      </c>
      <c r="P74" s="52" t="s">
        <v>328</v>
      </c>
      <c r="Q74" s="52" t="s">
        <v>125</v>
      </c>
      <c r="R74" s="52"/>
      <c r="S74" s="52"/>
      <c r="T74" s="52"/>
      <c r="U74" s="52" t="s">
        <v>108</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175</v>
      </c>
      <c r="D75" s="52">
        <v>3.2</v>
      </c>
      <c r="E75" s="52" t="s">
        <v>186</v>
      </c>
      <c r="F75" s="52" t="s">
        <v>282</v>
      </c>
      <c r="G75" s="52" t="s">
        <v>453</v>
      </c>
      <c r="H75" s="52">
        <v>7</v>
      </c>
      <c r="I75" s="52" t="s">
        <v>270</v>
      </c>
      <c r="J75" s="52" t="s">
        <v>182</v>
      </c>
      <c r="K75" s="52"/>
      <c r="L75" s="52" t="s">
        <v>331</v>
      </c>
      <c r="M75" s="68"/>
      <c r="N75" s="83"/>
      <c r="O75" s="70" t="str">
        <f t="shared" si="22"/>
        <v/>
      </c>
      <c r="P75" s="52" t="s">
        <v>329</v>
      </c>
      <c r="Q75" s="52" t="s">
        <v>267</v>
      </c>
      <c r="R75" s="52"/>
      <c r="S75" s="52"/>
      <c r="T75" s="52"/>
      <c r="U75" s="52" t="s">
        <v>108</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175</v>
      </c>
      <c r="D76" s="52">
        <v>3.3</v>
      </c>
      <c r="E76" s="52" t="s">
        <v>187</v>
      </c>
      <c r="F76" s="52" t="s">
        <v>282</v>
      </c>
      <c r="G76" s="52" t="s">
        <v>202</v>
      </c>
      <c r="H76" s="52"/>
      <c r="I76" s="52"/>
      <c r="J76" s="52" t="s">
        <v>549</v>
      </c>
      <c r="K76" s="52" t="s">
        <v>576</v>
      </c>
      <c r="L76" s="52" t="s">
        <v>331</v>
      </c>
      <c r="M76" s="68"/>
      <c r="N76" s="83"/>
      <c r="O76" s="70" t="str">
        <f t="shared" si="22"/>
        <v/>
      </c>
      <c r="P76" s="52" t="s">
        <v>249</v>
      </c>
      <c r="Q76" s="52" t="s">
        <v>410</v>
      </c>
      <c r="R76" s="52" t="s">
        <v>398</v>
      </c>
      <c r="S76" s="52"/>
      <c r="T76" s="52"/>
      <c r="U76" s="52" t="s">
        <v>98</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175</v>
      </c>
      <c r="D77" s="52">
        <v>3.3</v>
      </c>
      <c r="E77" s="52" t="s">
        <v>187</v>
      </c>
      <c r="F77" s="52" t="s">
        <v>282</v>
      </c>
      <c r="G77" s="52" t="s">
        <v>453</v>
      </c>
      <c r="H77" s="52">
        <v>8</v>
      </c>
      <c r="I77" s="52" t="s">
        <v>271</v>
      </c>
      <c r="J77" s="52" t="s">
        <v>182</v>
      </c>
      <c r="K77" s="52"/>
      <c r="L77" s="52" t="s">
        <v>331</v>
      </c>
      <c r="M77" s="68"/>
      <c r="N77" s="83"/>
      <c r="O77" s="70" t="str">
        <f t="shared" si="22"/>
        <v/>
      </c>
      <c r="P77" s="52" t="s">
        <v>329</v>
      </c>
      <c r="Q77" s="52" t="s">
        <v>110</v>
      </c>
      <c r="R77" s="52"/>
      <c r="S77" s="52"/>
      <c r="T77" s="52"/>
      <c r="U77" s="52" t="s">
        <v>108</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175</v>
      </c>
      <c r="D78" s="52">
        <v>3.3</v>
      </c>
      <c r="E78" s="52" t="s">
        <v>187</v>
      </c>
      <c r="F78" s="52" t="s">
        <v>282</v>
      </c>
      <c r="G78" s="52" t="s">
        <v>28</v>
      </c>
      <c r="H78" s="56">
        <v>5</v>
      </c>
      <c r="I78" s="56" t="s">
        <v>564</v>
      </c>
      <c r="J78" s="52" t="s">
        <v>388</v>
      </c>
      <c r="K78" s="52"/>
      <c r="L78" s="52" t="s">
        <v>331</v>
      </c>
      <c r="M78" s="68"/>
      <c r="N78" s="83"/>
      <c r="O78" s="70" t="str">
        <f t="shared" si="22"/>
        <v/>
      </c>
      <c r="P78" s="52" t="s">
        <v>570</v>
      </c>
      <c r="Q78" s="52" t="s">
        <v>567</v>
      </c>
      <c r="R78" s="52" t="s">
        <v>128</v>
      </c>
      <c r="S78" s="52"/>
      <c r="T78" s="52"/>
      <c r="U78" s="52" t="s">
        <v>95</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175</v>
      </c>
      <c r="D79" s="52">
        <v>4</v>
      </c>
      <c r="E79" s="52" t="s">
        <v>402</v>
      </c>
      <c r="F79" s="52" t="s">
        <v>282</v>
      </c>
      <c r="G79" s="52" t="s">
        <v>202</v>
      </c>
      <c r="H79" s="52"/>
      <c r="I79" s="52"/>
      <c r="J79" s="52" t="s">
        <v>182</v>
      </c>
      <c r="K79" s="52" t="s">
        <v>582</v>
      </c>
      <c r="L79" s="52" t="s">
        <v>331</v>
      </c>
      <c r="M79" s="68"/>
      <c r="N79" s="83"/>
      <c r="O79" s="70" t="str">
        <f t="shared" si="22"/>
        <v/>
      </c>
      <c r="P79" s="52" t="s">
        <v>241</v>
      </c>
      <c r="Q79" s="52" t="s">
        <v>411</v>
      </c>
      <c r="R79" s="52"/>
      <c r="S79" s="52"/>
      <c r="T79" s="52"/>
      <c r="U79" s="52" t="s">
        <v>98</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175</v>
      </c>
      <c r="D80" s="60">
        <v>5</v>
      </c>
      <c r="E80" s="60" t="s">
        <v>403</v>
      </c>
      <c r="F80" s="60" t="s">
        <v>282</v>
      </c>
      <c r="G80" s="52" t="s">
        <v>202</v>
      </c>
      <c r="H80" s="60"/>
      <c r="I80" s="60"/>
      <c r="J80" s="60" t="s">
        <v>182</v>
      </c>
      <c r="K80" s="60" t="s">
        <v>575</v>
      </c>
      <c r="L80" s="60" t="s">
        <v>331</v>
      </c>
      <c r="M80" s="80"/>
      <c r="N80" s="106"/>
      <c r="O80" s="82" t="str">
        <f t="shared" si="22"/>
        <v/>
      </c>
      <c r="P80" s="60" t="s">
        <v>242</v>
      </c>
      <c r="Q80" s="60" t="s">
        <v>412</v>
      </c>
      <c r="R80" s="60"/>
      <c r="S80" s="60"/>
      <c r="T80" s="60"/>
      <c r="U80" s="60" t="s">
        <v>98</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6" t="s">
        <v>505</v>
      </c>
      <c r="C81" s="297"/>
      <c r="D81" s="297"/>
      <c r="E81" s="297"/>
      <c r="F81" s="107"/>
      <c r="G81" s="107"/>
      <c r="H81" s="107"/>
      <c r="I81" s="107"/>
      <c r="J81" s="107"/>
      <c r="K81" s="107"/>
      <c r="L81" s="107"/>
      <c r="M81" s="107"/>
      <c r="N81" s="110" t="s">
        <v>521</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443</v>
      </c>
      <c r="D82" s="73">
        <v>1</v>
      </c>
      <c r="E82" s="73" t="s">
        <v>383</v>
      </c>
      <c r="F82" s="73"/>
      <c r="G82" s="52" t="s">
        <v>202</v>
      </c>
      <c r="H82" s="73"/>
      <c r="I82" s="73"/>
      <c r="J82" s="73" t="s">
        <v>182</v>
      </c>
      <c r="K82" s="73" t="s">
        <v>174</v>
      </c>
      <c r="L82" s="73" t="s">
        <v>331</v>
      </c>
      <c r="M82" s="76"/>
      <c r="N82" s="83"/>
      <c r="O82" s="69" t="str">
        <f t="shared" si="22"/>
        <v/>
      </c>
      <c r="P82" s="73" t="s">
        <v>250</v>
      </c>
      <c r="Q82" s="73" t="s">
        <v>251</v>
      </c>
      <c r="R82" s="73"/>
      <c r="S82" s="73"/>
      <c r="T82" s="73"/>
      <c r="U82" s="73" t="s">
        <v>98</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443</v>
      </c>
      <c r="D83" s="52">
        <v>2</v>
      </c>
      <c r="E83" s="52" t="s">
        <v>413</v>
      </c>
      <c r="F83" s="52"/>
      <c r="G83" s="52" t="s">
        <v>202</v>
      </c>
      <c r="H83" s="52"/>
      <c r="I83" s="52"/>
      <c r="J83" s="52" t="s">
        <v>182</v>
      </c>
      <c r="K83" s="52" t="s">
        <v>174</v>
      </c>
      <c r="L83" s="52" t="s">
        <v>331</v>
      </c>
      <c r="M83" s="68"/>
      <c r="N83" s="83"/>
      <c r="O83" s="70" t="str">
        <f t="shared" si="22"/>
        <v/>
      </c>
      <c r="P83" s="52" t="s">
        <v>385</v>
      </c>
      <c r="Q83" s="52" t="s">
        <v>530</v>
      </c>
      <c r="R83" s="52"/>
      <c r="S83" s="52"/>
      <c r="T83" s="52"/>
      <c r="U83" s="52" t="s">
        <v>98</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443</v>
      </c>
      <c r="D84" s="52"/>
      <c r="E84" s="52" t="s">
        <v>413</v>
      </c>
      <c r="F84" s="52"/>
      <c r="G84" s="52" t="s">
        <v>283</v>
      </c>
      <c r="H84" s="52"/>
      <c r="I84" s="122"/>
      <c r="J84" s="52" t="s">
        <v>182</v>
      </c>
      <c r="K84" s="52" t="s">
        <v>578</v>
      </c>
      <c r="L84" s="52" t="s">
        <v>331</v>
      </c>
      <c r="M84" s="68"/>
      <c r="N84" s="83" t="s">
        <v>220</v>
      </c>
      <c r="O84" s="70" t="str">
        <f t="shared" si="22"/>
        <v>ü</v>
      </c>
      <c r="P84" s="52" t="s">
        <v>531</v>
      </c>
      <c r="Q84" s="52" t="s">
        <v>154</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443</v>
      </c>
      <c r="D85" s="52">
        <v>2</v>
      </c>
      <c r="E85" s="52" t="s">
        <v>413</v>
      </c>
      <c r="F85" s="56" t="s">
        <v>212</v>
      </c>
      <c r="G85" s="52" t="s">
        <v>584</v>
      </c>
      <c r="H85" s="52">
        <v>1</v>
      </c>
      <c r="I85" s="52" t="s">
        <v>471</v>
      </c>
      <c r="J85" s="52" t="s">
        <v>314</v>
      </c>
      <c r="K85" s="52" t="s">
        <v>472</v>
      </c>
      <c r="L85" s="52" t="s">
        <v>331</v>
      </c>
      <c r="M85" s="68"/>
      <c r="N85" s="83"/>
      <c r="O85" s="70" t="str">
        <f t="shared" si="22"/>
        <v/>
      </c>
      <c r="P85" s="52" t="s">
        <v>100</v>
      </c>
      <c r="Q85" s="8" t="s">
        <v>111</v>
      </c>
      <c r="R85" s="52"/>
      <c r="S85" s="52" t="s">
        <v>313</v>
      </c>
      <c r="T85" s="52"/>
      <c r="U85" s="52" t="s">
        <v>97</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443</v>
      </c>
      <c r="D86" s="52">
        <v>2</v>
      </c>
      <c r="E86" s="52" t="s">
        <v>413</v>
      </c>
      <c r="F86" s="56" t="s">
        <v>212</v>
      </c>
      <c r="G86" s="52" t="s">
        <v>584</v>
      </c>
      <c r="H86" s="52">
        <v>2</v>
      </c>
      <c r="I86" s="52" t="s">
        <v>473</v>
      </c>
      <c r="J86" s="52" t="s">
        <v>314</v>
      </c>
      <c r="K86" s="52" t="s">
        <v>182</v>
      </c>
      <c r="L86" s="52" t="s">
        <v>331</v>
      </c>
      <c r="M86" s="68"/>
      <c r="N86" s="83"/>
      <c r="O86" s="70" t="str">
        <f t="shared" si="22"/>
        <v/>
      </c>
      <c r="P86" s="52" t="s">
        <v>111</v>
      </c>
      <c r="Q86" s="8" t="s">
        <v>126</v>
      </c>
      <c r="R86" s="52"/>
      <c r="S86" s="52" t="s">
        <v>313</v>
      </c>
      <c r="T86" s="52"/>
      <c r="U86" s="52" t="s">
        <v>97</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443</v>
      </c>
      <c r="D87" s="52">
        <v>2</v>
      </c>
      <c r="E87" s="52" t="s">
        <v>413</v>
      </c>
      <c r="F87" s="56" t="s">
        <v>212</v>
      </c>
      <c r="G87" s="52" t="s">
        <v>584</v>
      </c>
      <c r="H87" s="52">
        <v>3</v>
      </c>
      <c r="I87" s="52" t="s">
        <v>474</v>
      </c>
      <c r="J87" s="52" t="s">
        <v>182</v>
      </c>
      <c r="K87" s="52" t="s">
        <v>314</v>
      </c>
      <c r="L87" s="52" t="s">
        <v>331</v>
      </c>
      <c r="M87" s="68"/>
      <c r="N87" s="83"/>
      <c r="O87" s="70" t="str">
        <f t="shared" si="22"/>
        <v/>
      </c>
      <c r="P87" s="52" t="s">
        <v>126</v>
      </c>
      <c r="Q87" s="8" t="s">
        <v>126</v>
      </c>
      <c r="R87" s="52"/>
      <c r="S87" s="52" t="s">
        <v>313</v>
      </c>
      <c r="T87" s="52"/>
      <c r="U87" s="52" t="s">
        <v>97</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443</v>
      </c>
      <c r="D88" s="52">
        <v>2</v>
      </c>
      <c r="E88" s="52" t="s">
        <v>413</v>
      </c>
      <c r="F88" s="56" t="s">
        <v>212</v>
      </c>
      <c r="G88" s="52" t="s">
        <v>584</v>
      </c>
      <c r="H88" s="52">
        <v>4</v>
      </c>
      <c r="I88" s="52" t="s">
        <v>475</v>
      </c>
      <c r="J88" s="52" t="s">
        <v>314</v>
      </c>
      <c r="K88" s="52" t="s">
        <v>182</v>
      </c>
      <c r="L88" s="52" t="s">
        <v>331</v>
      </c>
      <c r="M88" s="68"/>
      <c r="N88" s="83"/>
      <c r="O88" s="70" t="str">
        <f t="shared" si="22"/>
        <v/>
      </c>
      <c r="P88" s="60" t="s">
        <v>111</v>
      </c>
      <c r="Q88" s="8" t="s">
        <v>111</v>
      </c>
      <c r="R88" s="52"/>
      <c r="S88" s="52" t="s">
        <v>313</v>
      </c>
      <c r="T88" s="52"/>
      <c r="U88" s="52" t="s">
        <v>97</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443</v>
      </c>
      <c r="D89" s="52">
        <v>2</v>
      </c>
      <c r="E89" s="52" t="s">
        <v>413</v>
      </c>
      <c r="F89" s="56" t="s">
        <v>212</v>
      </c>
      <c r="G89" s="52" t="s">
        <v>28</v>
      </c>
      <c r="H89" s="56">
        <v>1</v>
      </c>
      <c r="I89" s="56" t="s">
        <v>458</v>
      </c>
      <c r="J89" s="52" t="s">
        <v>182</v>
      </c>
      <c r="K89" s="52"/>
      <c r="L89" s="52" t="s">
        <v>331</v>
      </c>
      <c r="M89" s="68"/>
      <c r="N89" s="83"/>
      <c r="O89" s="70" t="str">
        <f t="shared" si="22"/>
        <v/>
      </c>
      <c r="P89" s="52" t="s">
        <v>574</v>
      </c>
      <c r="Q89" s="52" t="s">
        <v>155</v>
      </c>
      <c r="R89" s="52" t="s">
        <v>128</v>
      </c>
      <c r="S89" s="52" t="s">
        <v>313</v>
      </c>
      <c r="T89" s="52"/>
      <c r="U89" s="52" t="s">
        <v>95</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443</v>
      </c>
      <c r="D90" s="52">
        <v>2</v>
      </c>
      <c r="E90" s="52" t="s">
        <v>413</v>
      </c>
      <c r="F90" s="56" t="s">
        <v>212</v>
      </c>
      <c r="G90" s="52" t="s">
        <v>584</v>
      </c>
      <c r="H90" s="52">
        <v>1</v>
      </c>
      <c r="I90" s="52" t="s">
        <v>471</v>
      </c>
      <c r="J90" s="52" t="s">
        <v>314</v>
      </c>
      <c r="K90" s="52"/>
      <c r="L90" s="52" t="s">
        <v>331</v>
      </c>
      <c r="M90" s="68"/>
      <c r="N90" s="83"/>
      <c r="O90" s="70" t="str">
        <f t="shared" si="22"/>
        <v/>
      </c>
      <c r="P90" s="52" t="s">
        <v>101</v>
      </c>
      <c r="Q90" s="8" t="s">
        <v>111</v>
      </c>
      <c r="R90" s="52"/>
      <c r="S90" s="52" t="s">
        <v>313</v>
      </c>
      <c r="T90" s="52"/>
      <c r="U90" s="52" t="s">
        <v>97</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443</v>
      </c>
      <c r="D91" s="52">
        <v>2</v>
      </c>
      <c r="E91" s="52" t="s">
        <v>413</v>
      </c>
      <c r="F91" s="56" t="s">
        <v>212</v>
      </c>
      <c r="G91" s="52" t="s">
        <v>584</v>
      </c>
      <c r="H91" s="52">
        <v>2</v>
      </c>
      <c r="I91" s="52" t="s">
        <v>473</v>
      </c>
      <c r="J91" s="52" t="s">
        <v>314</v>
      </c>
      <c r="K91" s="52" t="s">
        <v>182</v>
      </c>
      <c r="L91" s="52" t="s">
        <v>331</v>
      </c>
      <c r="M91" s="68"/>
      <c r="N91" s="83"/>
      <c r="O91" s="70" t="str">
        <f t="shared" si="22"/>
        <v/>
      </c>
      <c r="P91" s="52" t="s">
        <v>111</v>
      </c>
      <c r="Q91" s="8" t="s">
        <v>126</v>
      </c>
      <c r="R91" s="52"/>
      <c r="S91" s="52" t="s">
        <v>313</v>
      </c>
      <c r="T91" s="52"/>
      <c r="U91" s="52" t="s">
        <v>97</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443</v>
      </c>
      <c r="D92" s="52">
        <v>2</v>
      </c>
      <c r="E92" s="52" t="s">
        <v>413</v>
      </c>
      <c r="F92" s="56" t="s">
        <v>212</v>
      </c>
      <c r="G92" s="52" t="s">
        <v>584</v>
      </c>
      <c r="H92" s="52">
        <v>3</v>
      </c>
      <c r="I92" s="52" t="s">
        <v>474</v>
      </c>
      <c r="J92" s="52" t="s">
        <v>182</v>
      </c>
      <c r="K92" s="52" t="s">
        <v>314</v>
      </c>
      <c r="L92" s="52" t="s">
        <v>331</v>
      </c>
      <c r="M92" s="68"/>
      <c r="N92" s="83"/>
      <c r="O92" s="70" t="str">
        <f t="shared" si="22"/>
        <v/>
      </c>
      <c r="P92" s="52" t="s">
        <v>126</v>
      </c>
      <c r="Q92" s="8" t="s">
        <v>126</v>
      </c>
      <c r="R92" s="52"/>
      <c r="S92" s="52" t="s">
        <v>313</v>
      </c>
      <c r="T92" s="52"/>
      <c r="U92" s="52" t="s">
        <v>97</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443</v>
      </c>
      <c r="D93" s="52">
        <v>2</v>
      </c>
      <c r="E93" s="52" t="s">
        <v>413</v>
      </c>
      <c r="F93" s="56" t="s">
        <v>212</v>
      </c>
      <c r="G93" s="52" t="s">
        <v>584</v>
      </c>
      <c r="H93" s="52">
        <v>4</v>
      </c>
      <c r="I93" s="52" t="s">
        <v>475</v>
      </c>
      <c r="J93" s="52" t="s">
        <v>314</v>
      </c>
      <c r="K93" s="52" t="s">
        <v>182</v>
      </c>
      <c r="L93" s="52" t="s">
        <v>331</v>
      </c>
      <c r="M93" s="68"/>
      <c r="N93" s="83"/>
      <c r="O93" s="70" t="str">
        <f t="shared" si="22"/>
        <v/>
      </c>
      <c r="P93" s="52" t="s">
        <v>111</v>
      </c>
      <c r="Q93" s="8" t="s">
        <v>111</v>
      </c>
      <c r="R93" s="52"/>
      <c r="S93" s="52" t="s">
        <v>313</v>
      </c>
      <c r="T93" s="52"/>
      <c r="U93" s="52" t="s">
        <v>97</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443</v>
      </c>
      <c r="D94" s="52">
        <v>2</v>
      </c>
      <c r="E94" s="52" t="s">
        <v>413</v>
      </c>
      <c r="F94" s="56" t="s">
        <v>212</v>
      </c>
      <c r="G94" s="56" t="s">
        <v>459</v>
      </c>
      <c r="H94" s="56">
        <v>2</v>
      </c>
      <c r="I94" s="56" t="s">
        <v>458</v>
      </c>
      <c r="J94" s="52" t="s">
        <v>314</v>
      </c>
      <c r="K94" s="52"/>
      <c r="L94" s="52" t="s">
        <v>331</v>
      </c>
      <c r="M94" s="68"/>
      <c r="N94" s="83"/>
      <c r="O94" s="70" t="str">
        <f t="shared" si="22"/>
        <v/>
      </c>
      <c r="P94" s="52" t="s">
        <v>156</v>
      </c>
      <c r="Q94" s="52" t="s">
        <v>155</v>
      </c>
      <c r="R94" s="52" t="s">
        <v>128</v>
      </c>
      <c r="S94" s="52" t="s">
        <v>313</v>
      </c>
      <c r="T94" s="52"/>
      <c r="U94" s="52" t="s">
        <v>95</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443</v>
      </c>
      <c r="D95" s="52">
        <v>2</v>
      </c>
      <c r="E95" s="52" t="s">
        <v>413</v>
      </c>
      <c r="F95" s="56" t="s">
        <v>212</v>
      </c>
      <c r="G95" s="56" t="s">
        <v>459</v>
      </c>
      <c r="H95" s="56">
        <v>8</v>
      </c>
      <c r="I95" s="56" t="s">
        <v>529</v>
      </c>
      <c r="J95" s="52" t="s">
        <v>388</v>
      </c>
      <c r="K95" s="52" t="s">
        <v>314</v>
      </c>
      <c r="L95" s="52" t="s">
        <v>331</v>
      </c>
      <c r="M95" s="68"/>
      <c r="N95" s="83"/>
      <c r="O95" s="70" t="str">
        <f t="shared" si="22"/>
        <v/>
      </c>
      <c r="P95" s="52" t="s">
        <v>156</v>
      </c>
      <c r="Q95" s="52" t="s">
        <v>127</v>
      </c>
      <c r="R95" s="52" t="s">
        <v>128</v>
      </c>
      <c r="S95" s="52" t="s">
        <v>313</v>
      </c>
      <c r="T95" s="52"/>
      <c r="U95" s="52" t="s">
        <v>106</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443</v>
      </c>
      <c r="D96" s="52">
        <v>3.3</v>
      </c>
      <c r="E96" s="52" t="s">
        <v>187</v>
      </c>
      <c r="F96" s="52" t="s">
        <v>282</v>
      </c>
      <c r="G96" s="52"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443</v>
      </c>
      <c r="D97" s="52">
        <v>2</v>
      </c>
      <c r="E97" s="52" t="s">
        <v>413</v>
      </c>
      <c r="F97" s="56" t="s">
        <v>212</v>
      </c>
      <c r="G97" s="56" t="s">
        <v>459</v>
      </c>
      <c r="H97" s="56">
        <v>6</v>
      </c>
      <c r="I97" s="56" t="s">
        <v>564</v>
      </c>
      <c r="J97" s="52" t="s">
        <v>388</v>
      </c>
      <c r="K97" s="52"/>
      <c r="L97" s="52" t="s">
        <v>331</v>
      </c>
      <c r="M97" s="68"/>
      <c r="N97" s="83"/>
      <c r="O97" s="70" t="str">
        <f t="shared" ref="O97:O109" si="30">IF(N97="No","û",IF(N97="Si","ü",IF(N97="NA","l","")))</f>
        <v/>
      </c>
      <c r="P97" s="52" t="s">
        <v>157</v>
      </c>
      <c r="Q97" s="52" t="s">
        <v>567</v>
      </c>
      <c r="R97" s="52" t="s">
        <v>128</v>
      </c>
      <c r="S97" s="52" t="s">
        <v>313</v>
      </c>
      <c r="T97" s="52"/>
      <c r="U97" s="52" t="s">
        <v>95</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443</v>
      </c>
      <c r="D98" s="52">
        <v>2</v>
      </c>
      <c r="E98" s="52" t="s">
        <v>413</v>
      </c>
      <c r="F98" s="56" t="s">
        <v>212</v>
      </c>
      <c r="G98" s="58" t="s">
        <v>273</v>
      </c>
      <c r="H98" s="58">
        <v>1</v>
      </c>
      <c r="I98" s="59" t="s">
        <v>279</v>
      </c>
      <c r="J98" s="52" t="s">
        <v>182</v>
      </c>
      <c r="K98" s="52" t="s">
        <v>174</v>
      </c>
      <c r="L98" s="52" t="s">
        <v>331</v>
      </c>
      <c r="M98" s="68"/>
      <c r="N98" s="83"/>
      <c r="O98" s="70" t="str">
        <f t="shared" si="30"/>
        <v/>
      </c>
      <c r="P98" s="52" t="s">
        <v>532</v>
      </c>
      <c r="Q98" s="52" t="s">
        <v>281</v>
      </c>
      <c r="R98" s="52"/>
      <c r="S98" s="52" t="s">
        <v>313</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443</v>
      </c>
      <c r="D99" s="52">
        <v>2</v>
      </c>
      <c r="E99" s="52" t="s">
        <v>413</v>
      </c>
      <c r="F99" s="56" t="s">
        <v>212</v>
      </c>
      <c r="G99" s="52" t="s">
        <v>273</v>
      </c>
      <c r="H99" s="52">
        <v>1</v>
      </c>
      <c r="I99" s="55" t="s">
        <v>274</v>
      </c>
      <c r="J99" s="52" t="s">
        <v>182</v>
      </c>
      <c r="K99" s="52" t="s">
        <v>174</v>
      </c>
      <c r="L99" s="52" t="s">
        <v>331</v>
      </c>
      <c r="M99" s="68"/>
      <c r="N99" s="83"/>
      <c r="O99" s="70" t="str">
        <f t="shared" si="30"/>
        <v/>
      </c>
      <c r="P99" s="52" t="s">
        <v>116</v>
      </c>
      <c r="Q99" s="52" t="s">
        <v>119</v>
      </c>
      <c r="R99" s="52"/>
      <c r="S99" s="52" t="s">
        <v>313</v>
      </c>
      <c r="T99" s="52"/>
      <c r="U99" s="52" t="s">
        <v>96</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443</v>
      </c>
      <c r="D100" s="56">
        <v>2.4</v>
      </c>
      <c r="E100" s="56" t="s">
        <v>178</v>
      </c>
      <c r="F100" s="56"/>
      <c r="G100" s="56" t="s">
        <v>273</v>
      </c>
      <c r="H100" s="56">
        <v>3</v>
      </c>
      <c r="I100" s="57" t="s">
        <v>210</v>
      </c>
      <c r="J100" s="56" t="s">
        <v>182</v>
      </c>
      <c r="K100" s="56" t="s">
        <v>174</v>
      </c>
      <c r="L100" s="52" t="s">
        <v>331</v>
      </c>
      <c r="M100" s="68"/>
      <c r="N100" s="67"/>
      <c r="O100" s="70" t="str">
        <f t="shared" si="30"/>
        <v/>
      </c>
      <c r="P100" s="56" t="s">
        <v>116</v>
      </c>
      <c r="Q100" s="56" t="s">
        <v>131</v>
      </c>
      <c r="R100" s="56"/>
      <c r="S100" s="56"/>
      <c r="T100" s="56"/>
      <c r="U100" s="56" t="s">
        <v>96</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443</v>
      </c>
      <c r="D101" s="52">
        <v>2</v>
      </c>
      <c r="E101" s="52" t="s">
        <v>413</v>
      </c>
      <c r="F101" s="56" t="s">
        <v>212</v>
      </c>
      <c r="G101" s="52" t="s">
        <v>273</v>
      </c>
      <c r="H101" s="52">
        <v>4</v>
      </c>
      <c r="I101" s="55" t="s">
        <v>275</v>
      </c>
      <c r="J101" s="52" t="s">
        <v>182</v>
      </c>
      <c r="K101" s="52" t="s">
        <v>174</v>
      </c>
      <c r="L101" s="52" t="s">
        <v>331</v>
      </c>
      <c r="M101" s="68"/>
      <c r="N101" s="83"/>
      <c r="O101" s="70" t="str">
        <f t="shared" si="30"/>
        <v/>
      </c>
      <c r="P101" s="52" t="s">
        <v>116</v>
      </c>
      <c r="Q101" s="52" t="s">
        <v>117</v>
      </c>
      <c r="R101" s="52"/>
      <c r="S101" s="52" t="s">
        <v>313</v>
      </c>
      <c r="T101" s="52"/>
      <c r="U101" s="52" t="s">
        <v>96</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443</v>
      </c>
      <c r="D102" s="52">
        <v>2</v>
      </c>
      <c r="E102" s="52" t="s">
        <v>413</v>
      </c>
      <c r="F102" s="56" t="s">
        <v>212</v>
      </c>
      <c r="G102" s="52" t="s">
        <v>273</v>
      </c>
      <c r="H102" s="52">
        <v>5</v>
      </c>
      <c r="I102" s="55" t="s">
        <v>276</v>
      </c>
      <c r="J102" s="52" t="s">
        <v>182</v>
      </c>
      <c r="K102" s="52" t="s">
        <v>174</v>
      </c>
      <c r="L102" s="52" t="s">
        <v>331</v>
      </c>
      <c r="M102" s="68"/>
      <c r="N102" s="83"/>
      <c r="O102" s="70" t="str">
        <f t="shared" si="30"/>
        <v/>
      </c>
      <c r="P102" s="52" t="s">
        <v>116</v>
      </c>
      <c r="Q102" s="52" t="s">
        <v>277</v>
      </c>
      <c r="R102" s="52"/>
      <c r="S102" s="52" t="s">
        <v>313</v>
      </c>
      <c r="T102" s="52"/>
      <c r="U102" s="52" t="s">
        <v>96</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443</v>
      </c>
      <c r="D103" s="52">
        <v>2</v>
      </c>
      <c r="E103" s="52" t="s">
        <v>413</v>
      </c>
      <c r="F103" s="56" t="s">
        <v>213</v>
      </c>
      <c r="G103" s="56" t="s">
        <v>459</v>
      </c>
      <c r="H103" s="56">
        <v>1</v>
      </c>
      <c r="I103" s="56" t="s">
        <v>458</v>
      </c>
      <c r="J103" s="52" t="s">
        <v>182</v>
      </c>
      <c r="K103" s="52"/>
      <c r="L103" s="52" t="s">
        <v>331</v>
      </c>
      <c r="M103" s="68"/>
      <c r="N103" s="83"/>
      <c r="O103" s="70" t="str">
        <f t="shared" si="30"/>
        <v/>
      </c>
      <c r="P103" s="52" t="s">
        <v>159</v>
      </c>
      <c r="Q103" s="52" t="s">
        <v>155</v>
      </c>
      <c r="R103" s="52" t="s">
        <v>128</v>
      </c>
      <c r="S103" s="52" t="s">
        <v>477</v>
      </c>
      <c r="T103" s="52"/>
      <c r="U103" s="52" t="s">
        <v>95</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443</v>
      </c>
      <c r="D104" s="52">
        <v>2</v>
      </c>
      <c r="E104" s="52" t="s">
        <v>413</v>
      </c>
      <c r="F104" s="56" t="s">
        <v>212</v>
      </c>
      <c r="G104" s="52" t="s">
        <v>470</v>
      </c>
      <c r="H104" s="52">
        <v>1</v>
      </c>
      <c r="I104" s="52" t="s">
        <v>471</v>
      </c>
      <c r="J104" s="52" t="s">
        <v>314</v>
      </c>
      <c r="K104" s="52"/>
      <c r="L104" s="52" t="s">
        <v>331</v>
      </c>
      <c r="M104" s="68"/>
      <c r="N104" s="83"/>
      <c r="O104" s="70" t="str">
        <f t="shared" si="30"/>
        <v/>
      </c>
      <c r="P104" s="52" t="s">
        <v>102</v>
      </c>
      <c r="Q104" s="8" t="s">
        <v>111</v>
      </c>
      <c r="R104" s="52"/>
      <c r="S104" s="52" t="s">
        <v>477</v>
      </c>
      <c r="T104" s="52"/>
      <c r="U104" s="52" t="s">
        <v>97</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443</v>
      </c>
      <c r="D105" s="52">
        <v>2</v>
      </c>
      <c r="E105" s="52" t="s">
        <v>413</v>
      </c>
      <c r="F105" s="56" t="s">
        <v>212</v>
      </c>
      <c r="G105" s="52" t="s">
        <v>470</v>
      </c>
      <c r="H105" s="52">
        <v>2</v>
      </c>
      <c r="I105" s="52" t="s">
        <v>473</v>
      </c>
      <c r="J105" s="52" t="s">
        <v>314</v>
      </c>
      <c r="K105" s="52" t="s">
        <v>182</v>
      </c>
      <c r="L105" s="52" t="s">
        <v>331</v>
      </c>
      <c r="M105" s="68"/>
      <c r="N105" s="83"/>
      <c r="O105" s="70" t="str">
        <f t="shared" si="30"/>
        <v/>
      </c>
      <c r="P105" s="52" t="s">
        <v>111</v>
      </c>
      <c r="Q105" s="8" t="s">
        <v>126</v>
      </c>
      <c r="R105" s="52"/>
      <c r="S105" s="52" t="s">
        <v>477</v>
      </c>
      <c r="T105" s="52"/>
      <c r="U105" s="52" t="s">
        <v>97</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443</v>
      </c>
      <c r="D106" s="52">
        <v>2</v>
      </c>
      <c r="E106" s="52" t="s">
        <v>413</v>
      </c>
      <c r="F106" s="56" t="s">
        <v>212</v>
      </c>
      <c r="G106" s="52" t="s">
        <v>470</v>
      </c>
      <c r="H106" s="52">
        <v>3</v>
      </c>
      <c r="I106" s="52" t="s">
        <v>474</v>
      </c>
      <c r="J106" s="52" t="s">
        <v>182</v>
      </c>
      <c r="K106" s="52" t="s">
        <v>314</v>
      </c>
      <c r="L106" s="52" t="s">
        <v>331</v>
      </c>
      <c r="M106" s="68"/>
      <c r="N106" s="83"/>
      <c r="O106" s="70" t="str">
        <f t="shared" si="30"/>
        <v/>
      </c>
      <c r="P106" s="52" t="s">
        <v>126</v>
      </c>
      <c r="Q106" s="8" t="s">
        <v>126</v>
      </c>
      <c r="R106" s="52"/>
      <c r="S106" s="52" t="s">
        <v>477</v>
      </c>
      <c r="T106" s="52"/>
      <c r="U106" s="52" t="s">
        <v>97</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443</v>
      </c>
      <c r="D107" s="52">
        <v>2</v>
      </c>
      <c r="E107" s="52" t="s">
        <v>413</v>
      </c>
      <c r="F107" s="56" t="s">
        <v>212</v>
      </c>
      <c r="G107" s="52" t="s">
        <v>470</v>
      </c>
      <c r="H107" s="52">
        <v>4</v>
      </c>
      <c r="I107" s="52" t="s">
        <v>475</v>
      </c>
      <c r="J107" s="52" t="s">
        <v>314</v>
      </c>
      <c r="K107" s="52" t="s">
        <v>182</v>
      </c>
      <c r="L107" s="52" t="s">
        <v>331</v>
      </c>
      <c r="M107" s="68"/>
      <c r="N107" s="83"/>
      <c r="O107" s="70" t="str">
        <f t="shared" si="30"/>
        <v/>
      </c>
      <c r="P107" s="52" t="s">
        <v>111</v>
      </c>
      <c r="Q107" s="8" t="s">
        <v>111</v>
      </c>
      <c r="R107" s="52"/>
      <c r="S107" s="52" t="s">
        <v>477</v>
      </c>
      <c r="T107" s="52"/>
      <c r="U107" s="52" t="s">
        <v>97</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443</v>
      </c>
      <c r="D108" s="52">
        <v>2</v>
      </c>
      <c r="E108" s="52" t="s">
        <v>413</v>
      </c>
      <c r="F108" s="56" t="s">
        <v>213</v>
      </c>
      <c r="G108" s="56" t="s">
        <v>459</v>
      </c>
      <c r="H108" s="56">
        <v>2</v>
      </c>
      <c r="I108" s="56" t="s">
        <v>458</v>
      </c>
      <c r="J108" s="52" t="s">
        <v>314</v>
      </c>
      <c r="K108" s="52"/>
      <c r="L108" s="52" t="s">
        <v>331</v>
      </c>
      <c r="M108" s="68"/>
      <c r="N108" s="83"/>
      <c r="O108" s="70" t="str">
        <f t="shared" si="30"/>
        <v/>
      </c>
      <c r="P108" s="52" t="s">
        <v>159</v>
      </c>
      <c r="Q108" s="52" t="s">
        <v>160</v>
      </c>
      <c r="R108" s="52" t="s">
        <v>128</v>
      </c>
      <c r="S108" s="52" t="s">
        <v>477</v>
      </c>
      <c r="T108" s="52"/>
      <c r="U108" s="52" t="s">
        <v>95</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443</v>
      </c>
      <c r="D109" s="52">
        <v>2</v>
      </c>
      <c r="E109" s="52" t="s">
        <v>413</v>
      </c>
      <c r="F109" s="56" t="s">
        <v>213</v>
      </c>
      <c r="G109" s="56" t="s">
        <v>459</v>
      </c>
      <c r="H109" s="56">
        <v>8</v>
      </c>
      <c r="I109" s="56" t="s">
        <v>529</v>
      </c>
      <c r="J109" s="52" t="s">
        <v>388</v>
      </c>
      <c r="K109" s="52"/>
      <c r="L109" s="52" t="s">
        <v>331</v>
      </c>
      <c r="M109" s="68"/>
      <c r="N109" s="83"/>
      <c r="O109" s="70" t="str">
        <f t="shared" si="30"/>
        <v/>
      </c>
      <c r="P109" s="52" t="s">
        <v>159</v>
      </c>
      <c r="Q109" s="52" t="s">
        <v>127</v>
      </c>
      <c r="R109" s="52"/>
      <c r="S109" s="52" t="s">
        <v>477</v>
      </c>
      <c r="T109" s="52"/>
      <c r="U109" s="52" t="s">
        <v>106</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443</v>
      </c>
      <c r="D110" s="52">
        <v>2</v>
      </c>
      <c r="E110" s="52" t="s">
        <v>413</v>
      </c>
      <c r="F110" s="52" t="s">
        <v>282</v>
      </c>
      <c r="G110" s="52"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443</v>
      </c>
      <c r="D111" s="52">
        <v>2</v>
      </c>
      <c r="E111" s="52" t="s">
        <v>413</v>
      </c>
      <c r="F111" s="56" t="s">
        <v>213</v>
      </c>
      <c r="G111" s="56" t="s">
        <v>459</v>
      </c>
      <c r="H111" s="56">
        <v>5</v>
      </c>
      <c r="I111" s="56" t="s">
        <v>564</v>
      </c>
      <c r="J111" s="52" t="s">
        <v>388</v>
      </c>
      <c r="K111" s="52"/>
      <c r="L111" s="52" t="s">
        <v>331</v>
      </c>
      <c r="M111" s="68"/>
      <c r="N111" s="83"/>
      <c r="O111" s="70" t="str">
        <f t="shared" ref="O111:O118" si="31">IF(N111="No","û",IF(N111="Si","ü",IF(N111="NA","l","")))</f>
        <v/>
      </c>
      <c r="P111" s="52" t="s">
        <v>159</v>
      </c>
      <c r="Q111" s="52" t="s">
        <v>567</v>
      </c>
      <c r="R111" s="52" t="s">
        <v>128</v>
      </c>
      <c r="S111" s="52" t="s">
        <v>477</v>
      </c>
      <c r="T111" s="52"/>
      <c r="U111" s="52" t="s">
        <v>95</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443</v>
      </c>
      <c r="D112" s="52">
        <v>2</v>
      </c>
      <c r="E112" s="52" t="s">
        <v>413</v>
      </c>
      <c r="F112" s="56" t="s">
        <v>213</v>
      </c>
      <c r="G112" s="56" t="s">
        <v>459</v>
      </c>
      <c r="H112" s="56">
        <v>1</v>
      </c>
      <c r="I112" s="56" t="s">
        <v>458</v>
      </c>
      <c r="J112" s="52" t="s">
        <v>182</v>
      </c>
      <c r="K112" s="52"/>
      <c r="L112" s="52" t="s">
        <v>331</v>
      </c>
      <c r="M112" s="68"/>
      <c r="N112" s="83"/>
      <c r="O112" s="70" t="str">
        <f t="shared" si="31"/>
        <v/>
      </c>
      <c r="P112" s="52" t="s">
        <v>161</v>
      </c>
      <c r="Q112" s="52" t="s">
        <v>155</v>
      </c>
      <c r="R112" s="52" t="s">
        <v>128</v>
      </c>
      <c r="S112" s="52" t="s">
        <v>552</v>
      </c>
      <c r="T112" s="52"/>
      <c r="U112" s="52" t="s">
        <v>95</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443</v>
      </c>
      <c r="D113" s="52">
        <v>2</v>
      </c>
      <c r="E113" s="52" t="s">
        <v>413</v>
      </c>
      <c r="F113" s="56" t="s">
        <v>214</v>
      </c>
      <c r="G113" s="52" t="s">
        <v>470</v>
      </c>
      <c r="H113" s="52">
        <v>1</v>
      </c>
      <c r="I113" s="52" t="s">
        <v>471</v>
      </c>
      <c r="J113" s="52" t="s">
        <v>314</v>
      </c>
      <c r="K113" s="52"/>
      <c r="L113" s="52" t="s">
        <v>331</v>
      </c>
      <c r="M113" s="68"/>
      <c r="N113" s="83"/>
      <c r="O113" s="70" t="str">
        <f t="shared" si="31"/>
        <v/>
      </c>
      <c r="P113" s="52" t="s">
        <v>105</v>
      </c>
      <c r="Q113" s="8" t="s">
        <v>111</v>
      </c>
      <c r="R113" s="52"/>
      <c r="S113" s="52" t="s">
        <v>552</v>
      </c>
      <c r="T113" s="52"/>
      <c r="U113" s="52" t="s">
        <v>97</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443</v>
      </c>
      <c r="D114" s="52">
        <v>2</v>
      </c>
      <c r="E114" s="52" t="s">
        <v>413</v>
      </c>
      <c r="F114" s="56" t="s">
        <v>214</v>
      </c>
      <c r="G114" s="52" t="s">
        <v>470</v>
      </c>
      <c r="H114" s="52">
        <v>2</v>
      </c>
      <c r="I114" s="52" t="s">
        <v>473</v>
      </c>
      <c r="J114" s="52" t="s">
        <v>314</v>
      </c>
      <c r="K114" s="52" t="s">
        <v>182</v>
      </c>
      <c r="L114" s="52" t="s">
        <v>331</v>
      </c>
      <c r="M114" s="68"/>
      <c r="N114" s="83"/>
      <c r="O114" s="70" t="str">
        <f t="shared" si="31"/>
        <v/>
      </c>
      <c r="P114" s="52" t="s">
        <v>111</v>
      </c>
      <c r="Q114" s="8" t="s">
        <v>126</v>
      </c>
      <c r="R114" s="52"/>
      <c r="S114" s="52" t="s">
        <v>552</v>
      </c>
      <c r="T114" s="52"/>
      <c r="U114" s="52" t="s">
        <v>97</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443</v>
      </c>
      <c r="D115" s="52">
        <v>2</v>
      </c>
      <c r="E115" s="52" t="s">
        <v>413</v>
      </c>
      <c r="F115" s="56" t="s">
        <v>214</v>
      </c>
      <c r="G115" s="52" t="s">
        <v>470</v>
      </c>
      <c r="H115" s="52">
        <v>3</v>
      </c>
      <c r="I115" s="52" t="s">
        <v>474</v>
      </c>
      <c r="J115" s="52" t="s">
        <v>182</v>
      </c>
      <c r="K115" s="52" t="s">
        <v>314</v>
      </c>
      <c r="L115" s="52" t="s">
        <v>331</v>
      </c>
      <c r="M115" s="68"/>
      <c r="N115" s="83"/>
      <c r="O115" s="70" t="str">
        <f t="shared" si="31"/>
        <v/>
      </c>
      <c r="P115" s="52" t="s">
        <v>126</v>
      </c>
      <c r="Q115" s="8" t="s">
        <v>126</v>
      </c>
      <c r="R115" s="52"/>
      <c r="S115" s="52" t="s">
        <v>552</v>
      </c>
      <c r="T115" s="52"/>
      <c r="U115" s="52" t="s">
        <v>97</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443</v>
      </c>
      <c r="D116" s="52">
        <v>2</v>
      </c>
      <c r="E116" s="52" t="s">
        <v>413</v>
      </c>
      <c r="F116" s="56" t="s">
        <v>214</v>
      </c>
      <c r="G116" s="52" t="s">
        <v>470</v>
      </c>
      <c r="H116" s="52">
        <v>4</v>
      </c>
      <c r="I116" s="52" t="s">
        <v>475</v>
      </c>
      <c r="J116" s="52" t="s">
        <v>314</v>
      </c>
      <c r="K116" s="52" t="s">
        <v>182</v>
      </c>
      <c r="L116" s="52" t="s">
        <v>331</v>
      </c>
      <c r="M116" s="68"/>
      <c r="N116" s="83"/>
      <c r="O116" s="70" t="str">
        <f t="shared" si="31"/>
        <v/>
      </c>
      <c r="P116" s="52" t="s">
        <v>111</v>
      </c>
      <c r="Q116" s="8" t="s">
        <v>111</v>
      </c>
      <c r="R116" s="52"/>
      <c r="S116" s="52" t="s">
        <v>552</v>
      </c>
      <c r="T116" s="52"/>
      <c r="U116" s="52" t="s">
        <v>97</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443</v>
      </c>
      <c r="D117" s="52">
        <v>2</v>
      </c>
      <c r="E117" s="52" t="s">
        <v>413</v>
      </c>
      <c r="F117" s="56" t="s">
        <v>214</v>
      </c>
      <c r="G117" s="56" t="s">
        <v>459</v>
      </c>
      <c r="H117" s="56">
        <v>2</v>
      </c>
      <c r="I117" s="56" t="s">
        <v>458</v>
      </c>
      <c r="J117" s="52" t="s">
        <v>314</v>
      </c>
      <c r="K117" s="52"/>
      <c r="L117" s="52" t="s">
        <v>331</v>
      </c>
      <c r="M117" s="68"/>
      <c r="N117" s="83"/>
      <c r="O117" s="70" t="str">
        <f t="shared" si="31"/>
        <v/>
      </c>
      <c r="P117" s="52" t="s">
        <v>161</v>
      </c>
      <c r="Q117" s="52" t="s">
        <v>160</v>
      </c>
      <c r="R117" s="52" t="s">
        <v>128</v>
      </c>
      <c r="S117" s="52" t="s">
        <v>552</v>
      </c>
      <c r="T117" s="52"/>
      <c r="U117" s="52" t="s">
        <v>129</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443</v>
      </c>
      <c r="D118" s="52">
        <v>2</v>
      </c>
      <c r="E118" s="52" t="s">
        <v>413</v>
      </c>
      <c r="F118" s="56" t="s">
        <v>214</v>
      </c>
      <c r="G118" s="56" t="s">
        <v>459</v>
      </c>
      <c r="H118" s="56">
        <v>8</v>
      </c>
      <c r="I118" s="56" t="s">
        <v>460</v>
      </c>
      <c r="J118" s="52" t="s">
        <v>388</v>
      </c>
      <c r="K118" s="52"/>
      <c r="L118" s="52" t="s">
        <v>331</v>
      </c>
      <c r="M118" s="68"/>
      <c r="N118" s="83"/>
      <c r="O118" s="70" t="str">
        <f t="shared" si="31"/>
        <v/>
      </c>
      <c r="P118" s="52" t="s">
        <v>161</v>
      </c>
      <c r="Q118" s="52" t="s">
        <v>127</v>
      </c>
      <c r="R118" s="52"/>
      <c r="S118" s="52" t="s">
        <v>552</v>
      </c>
      <c r="T118" s="52"/>
      <c r="U118" s="52" t="s">
        <v>106</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443</v>
      </c>
      <c r="D119" s="52">
        <v>2</v>
      </c>
      <c r="E119" s="52" t="s">
        <v>413</v>
      </c>
      <c r="F119" s="52" t="s">
        <v>282</v>
      </c>
      <c r="G119" s="52"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443</v>
      </c>
      <c r="D120" s="52">
        <v>2</v>
      </c>
      <c r="E120" s="52" t="s">
        <v>413</v>
      </c>
      <c r="F120" s="56" t="s">
        <v>214</v>
      </c>
      <c r="G120" s="56" t="s">
        <v>459</v>
      </c>
      <c r="H120" s="56">
        <v>6</v>
      </c>
      <c r="I120" s="56" t="s">
        <v>564</v>
      </c>
      <c r="J120" s="52" t="s">
        <v>388</v>
      </c>
      <c r="K120" s="52"/>
      <c r="L120" s="52" t="s">
        <v>331</v>
      </c>
      <c r="M120" s="68"/>
      <c r="N120" s="83"/>
      <c r="O120" s="70" t="str">
        <f t="shared" ref="O120:O132" si="39">IF(N120="No","û",IF(N120="Si","ü",IF(N120="NA","l","")))</f>
        <v/>
      </c>
      <c r="P120" s="52" t="s">
        <v>159</v>
      </c>
      <c r="Q120" s="52" t="s">
        <v>162</v>
      </c>
      <c r="R120" s="52" t="s">
        <v>128</v>
      </c>
      <c r="S120" s="52" t="s">
        <v>552</v>
      </c>
      <c r="T120" s="52"/>
      <c r="U120" s="52" t="s">
        <v>95</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443</v>
      </c>
      <c r="D121" s="52">
        <v>2</v>
      </c>
      <c r="E121" s="52" t="s">
        <v>413</v>
      </c>
      <c r="F121" s="56" t="s">
        <v>215</v>
      </c>
      <c r="G121" s="58" t="s">
        <v>273</v>
      </c>
      <c r="H121" s="58">
        <v>1</v>
      </c>
      <c r="I121" s="59" t="s">
        <v>279</v>
      </c>
      <c r="J121" s="52" t="s">
        <v>182</v>
      </c>
      <c r="K121" s="52" t="s">
        <v>174</v>
      </c>
      <c r="L121" s="52" t="s">
        <v>331</v>
      </c>
      <c r="M121" s="68"/>
      <c r="N121" s="83"/>
      <c r="O121" s="70" t="str">
        <f t="shared" si="39"/>
        <v/>
      </c>
      <c r="P121" s="52" t="s">
        <v>553</v>
      </c>
      <c r="Q121" s="52" t="s">
        <v>281</v>
      </c>
      <c r="R121" s="52"/>
      <c r="S121" s="52" t="s">
        <v>552</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443</v>
      </c>
      <c r="D122" s="52">
        <v>2</v>
      </c>
      <c r="E122" s="52" t="s">
        <v>413</v>
      </c>
      <c r="F122" s="56" t="s">
        <v>215</v>
      </c>
      <c r="G122" s="52" t="s">
        <v>273</v>
      </c>
      <c r="H122" s="52">
        <v>1</v>
      </c>
      <c r="I122" s="55" t="s">
        <v>274</v>
      </c>
      <c r="J122" s="52" t="s">
        <v>182</v>
      </c>
      <c r="K122" s="52" t="s">
        <v>174</v>
      </c>
      <c r="L122" s="52" t="s">
        <v>331</v>
      </c>
      <c r="M122" s="68"/>
      <c r="N122" s="83"/>
      <c r="O122" s="70" t="str">
        <f t="shared" si="39"/>
        <v/>
      </c>
      <c r="P122" s="52" t="s">
        <v>116</v>
      </c>
      <c r="Q122" s="52" t="s">
        <v>119</v>
      </c>
      <c r="R122" s="52"/>
      <c r="S122" s="52" t="s">
        <v>552</v>
      </c>
      <c r="T122" s="52"/>
      <c r="U122" s="52" t="s">
        <v>96</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443</v>
      </c>
      <c r="D123" s="56">
        <v>2.4</v>
      </c>
      <c r="E123" s="56" t="s">
        <v>178</v>
      </c>
      <c r="F123" s="56"/>
      <c r="G123" s="56" t="s">
        <v>273</v>
      </c>
      <c r="H123" s="56">
        <v>3</v>
      </c>
      <c r="I123" s="57" t="s">
        <v>210</v>
      </c>
      <c r="J123" s="56" t="s">
        <v>182</v>
      </c>
      <c r="K123" s="56" t="s">
        <v>174</v>
      </c>
      <c r="L123" s="52" t="s">
        <v>331</v>
      </c>
      <c r="M123" s="68"/>
      <c r="N123" s="67"/>
      <c r="O123" s="70" t="str">
        <f t="shared" si="39"/>
        <v/>
      </c>
      <c r="P123" s="56" t="s">
        <v>116</v>
      </c>
      <c r="Q123" s="56" t="s">
        <v>131</v>
      </c>
      <c r="R123" s="56"/>
      <c r="S123" s="56"/>
      <c r="T123" s="56"/>
      <c r="U123" s="56" t="s">
        <v>96</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443</v>
      </c>
      <c r="D124" s="52">
        <v>2</v>
      </c>
      <c r="E124" s="52" t="s">
        <v>413</v>
      </c>
      <c r="F124" s="56" t="s">
        <v>215</v>
      </c>
      <c r="G124" s="52" t="s">
        <v>273</v>
      </c>
      <c r="H124" s="52">
        <v>4</v>
      </c>
      <c r="I124" s="55" t="s">
        <v>275</v>
      </c>
      <c r="J124" s="52" t="s">
        <v>182</v>
      </c>
      <c r="K124" s="52" t="s">
        <v>174</v>
      </c>
      <c r="L124" s="52" t="s">
        <v>331</v>
      </c>
      <c r="M124" s="68"/>
      <c r="N124" s="83"/>
      <c r="O124" s="70" t="str">
        <f t="shared" si="39"/>
        <v/>
      </c>
      <c r="P124" s="52" t="s">
        <v>116</v>
      </c>
      <c r="Q124" s="52" t="s">
        <v>117</v>
      </c>
      <c r="R124" s="52"/>
      <c r="S124" s="52" t="s">
        <v>552</v>
      </c>
      <c r="T124" s="52"/>
      <c r="U124" s="52" t="s">
        <v>96</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443</v>
      </c>
      <c r="D125" s="52">
        <v>2</v>
      </c>
      <c r="E125" s="52" t="s">
        <v>413</v>
      </c>
      <c r="F125" s="56" t="s">
        <v>215</v>
      </c>
      <c r="G125" s="52" t="s">
        <v>273</v>
      </c>
      <c r="H125" s="52">
        <v>5</v>
      </c>
      <c r="I125" s="55" t="s">
        <v>276</v>
      </c>
      <c r="J125" s="52" t="s">
        <v>182</v>
      </c>
      <c r="K125" s="52" t="s">
        <v>174</v>
      </c>
      <c r="L125" s="52" t="s">
        <v>331</v>
      </c>
      <c r="M125" s="68"/>
      <c r="N125" s="83"/>
      <c r="O125" s="70" t="str">
        <f t="shared" si="39"/>
        <v/>
      </c>
      <c r="P125" s="52" t="s">
        <v>116</v>
      </c>
      <c r="Q125" s="52" t="s">
        <v>277</v>
      </c>
      <c r="R125" s="52"/>
      <c r="S125" s="52" t="s">
        <v>552</v>
      </c>
      <c r="T125" s="52"/>
      <c r="U125" s="52" t="s">
        <v>96</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443</v>
      </c>
      <c r="D126" s="52">
        <v>2</v>
      </c>
      <c r="E126" s="52" t="s">
        <v>413</v>
      </c>
      <c r="F126" s="56" t="s">
        <v>213</v>
      </c>
      <c r="G126" s="56" t="s">
        <v>459</v>
      </c>
      <c r="H126" s="56">
        <v>1</v>
      </c>
      <c r="I126" s="56" t="s">
        <v>458</v>
      </c>
      <c r="J126" s="52" t="s">
        <v>182</v>
      </c>
      <c r="K126" s="52"/>
      <c r="L126" s="52" t="s">
        <v>331</v>
      </c>
      <c r="M126" s="68"/>
      <c r="N126" s="83"/>
      <c r="O126" s="70" t="str">
        <f t="shared" si="39"/>
        <v/>
      </c>
      <c r="P126" s="52" t="s">
        <v>146</v>
      </c>
      <c r="Q126" s="52" t="s">
        <v>155</v>
      </c>
      <c r="R126" s="52" t="s">
        <v>128</v>
      </c>
      <c r="S126" s="52" t="s">
        <v>163</v>
      </c>
      <c r="T126" s="52"/>
      <c r="U126" s="52" t="s">
        <v>95</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443</v>
      </c>
      <c r="D127" s="52">
        <v>2</v>
      </c>
      <c r="E127" s="52" t="s">
        <v>413</v>
      </c>
      <c r="F127" s="56" t="s">
        <v>490</v>
      </c>
      <c r="G127" s="52" t="s">
        <v>470</v>
      </c>
      <c r="H127" s="52">
        <v>1</v>
      </c>
      <c r="I127" s="52" t="s">
        <v>471</v>
      </c>
      <c r="J127" s="52" t="s">
        <v>314</v>
      </c>
      <c r="K127" s="52"/>
      <c r="L127" s="52" t="s">
        <v>331</v>
      </c>
      <c r="M127" s="68"/>
      <c r="N127" s="83"/>
      <c r="O127" s="70" t="str">
        <f t="shared" si="39"/>
        <v/>
      </c>
      <c r="P127" s="52" t="s">
        <v>147</v>
      </c>
      <c r="Q127" s="8" t="s">
        <v>111</v>
      </c>
      <c r="R127" s="52"/>
      <c r="S127" s="52" t="s">
        <v>163</v>
      </c>
      <c r="T127" s="52"/>
      <c r="U127" s="52" t="s">
        <v>97</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443</v>
      </c>
      <c r="D128" s="52">
        <v>2</v>
      </c>
      <c r="E128" s="52" t="s">
        <v>413</v>
      </c>
      <c r="F128" s="56" t="s">
        <v>490</v>
      </c>
      <c r="G128" s="52" t="s">
        <v>470</v>
      </c>
      <c r="H128" s="52">
        <v>2</v>
      </c>
      <c r="I128" s="52" t="s">
        <v>473</v>
      </c>
      <c r="J128" s="52" t="s">
        <v>314</v>
      </c>
      <c r="K128" s="52" t="s">
        <v>182</v>
      </c>
      <c r="L128" s="52" t="s">
        <v>331</v>
      </c>
      <c r="M128" s="68"/>
      <c r="N128" s="83"/>
      <c r="O128" s="70" t="str">
        <f t="shared" si="39"/>
        <v/>
      </c>
      <c r="P128" s="52" t="s">
        <v>111</v>
      </c>
      <c r="Q128" s="8" t="s">
        <v>126</v>
      </c>
      <c r="R128" s="52"/>
      <c r="S128" s="52" t="s">
        <v>163</v>
      </c>
      <c r="T128" s="52"/>
      <c r="U128" s="52" t="s">
        <v>97</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443</v>
      </c>
      <c r="D129" s="52">
        <v>2</v>
      </c>
      <c r="E129" s="52" t="s">
        <v>413</v>
      </c>
      <c r="F129" s="56" t="s">
        <v>490</v>
      </c>
      <c r="G129" s="52" t="s">
        <v>470</v>
      </c>
      <c r="H129" s="52">
        <v>3</v>
      </c>
      <c r="I129" s="52" t="s">
        <v>474</v>
      </c>
      <c r="J129" s="52" t="s">
        <v>182</v>
      </c>
      <c r="K129" s="52" t="s">
        <v>314</v>
      </c>
      <c r="L129" s="52" t="s">
        <v>331</v>
      </c>
      <c r="M129" s="68"/>
      <c r="N129" s="83"/>
      <c r="O129" s="70" t="str">
        <f t="shared" si="39"/>
        <v/>
      </c>
      <c r="P129" s="52" t="s">
        <v>126</v>
      </c>
      <c r="Q129" s="8" t="s">
        <v>126</v>
      </c>
      <c r="R129" s="52"/>
      <c r="S129" s="52" t="s">
        <v>163</v>
      </c>
      <c r="T129" s="52"/>
      <c r="U129" s="52" t="s">
        <v>97</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443</v>
      </c>
      <c r="D130" s="52">
        <v>2</v>
      </c>
      <c r="E130" s="52" t="s">
        <v>413</v>
      </c>
      <c r="F130" s="56" t="s">
        <v>490</v>
      </c>
      <c r="G130" s="52" t="s">
        <v>470</v>
      </c>
      <c r="H130" s="52">
        <v>4</v>
      </c>
      <c r="I130" s="52" t="s">
        <v>475</v>
      </c>
      <c r="J130" s="52" t="s">
        <v>314</v>
      </c>
      <c r="K130" s="52" t="s">
        <v>182</v>
      </c>
      <c r="L130" s="52" t="s">
        <v>331</v>
      </c>
      <c r="M130" s="68"/>
      <c r="N130" s="83"/>
      <c r="O130" s="70" t="str">
        <f t="shared" si="39"/>
        <v/>
      </c>
      <c r="P130" s="52" t="s">
        <v>111</v>
      </c>
      <c r="Q130" s="8" t="s">
        <v>111</v>
      </c>
      <c r="R130" s="52"/>
      <c r="S130" s="52" t="s">
        <v>163</v>
      </c>
      <c r="T130" s="52"/>
      <c r="U130" s="52" t="s">
        <v>97</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443</v>
      </c>
      <c r="D131" s="52">
        <v>2</v>
      </c>
      <c r="E131" s="52" t="s">
        <v>413</v>
      </c>
      <c r="F131" s="56" t="s">
        <v>490</v>
      </c>
      <c r="G131" s="56" t="s">
        <v>459</v>
      </c>
      <c r="H131" s="56">
        <v>2</v>
      </c>
      <c r="I131" s="56" t="s">
        <v>458</v>
      </c>
      <c r="J131" s="52" t="s">
        <v>314</v>
      </c>
      <c r="K131" s="52"/>
      <c r="L131" s="52" t="s">
        <v>331</v>
      </c>
      <c r="M131" s="68"/>
      <c r="N131" s="83"/>
      <c r="O131" s="70" t="str">
        <f t="shared" si="39"/>
        <v/>
      </c>
      <c r="P131" s="52" t="s">
        <v>146</v>
      </c>
      <c r="Q131" s="52" t="s">
        <v>160</v>
      </c>
      <c r="R131" s="52" t="s">
        <v>128</v>
      </c>
      <c r="S131" s="52" t="s">
        <v>163</v>
      </c>
      <c r="T131" s="52"/>
      <c r="U131" s="52" t="s">
        <v>130</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443</v>
      </c>
      <c r="D132" s="52">
        <v>2</v>
      </c>
      <c r="E132" s="52" t="s">
        <v>413</v>
      </c>
      <c r="F132" s="56" t="s">
        <v>490</v>
      </c>
      <c r="G132" s="56" t="s">
        <v>459</v>
      </c>
      <c r="H132" s="56">
        <v>8</v>
      </c>
      <c r="I132" s="56" t="s">
        <v>529</v>
      </c>
      <c r="J132" s="52" t="s">
        <v>388</v>
      </c>
      <c r="K132" s="52"/>
      <c r="L132" s="52" t="s">
        <v>331</v>
      </c>
      <c r="M132" s="68"/>
      <c r="N132" s="83"/>
      <c r="O132" s="70" t="str">
        <f t="shared" si="39"/>
        <v/>
      </c>
      <c r="P132" s="52" t="s">
        <v>146</v>
      </c>
      <c r="Q132" s="52" t="s">
        <v>127</v>
      </c>
      <c r="R132" s="52"/>
      <c r="S132" s="52" t="s">
        <v>163</v>
      </c>
      <c r="T132" s="52"/>
      <c r="U132" s="52" t="s">
        <v>106</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443</v>
      </c>
      <c r="D133" s="52">
        <v>2</v>
      </c>
      <c r="E133" s="52" t="s">
        <v>413</v>
      </c>
      <c r="F133" s="52" t="s">
        <v>282</v>
      </c>
      <c r="G133" s="52"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443</v>
      </c>
      <c r="D134" s="52">
        <v>2</v>
      </c>
      <c r="E134" s="52" t="s">
        <v>413</v>
      </c>
      <c r="F134" s="56" t="s">
        <v>490</v>
      </c>
      <c r="G134" s="56" t="s">
        <v>459</v>
      </c>
      <c r="H134" s="56">
        <v>5</v>
      </c>
      <c r="I134" s="56" t="s">
        <v>564</v>
      </c>
      <c r="J134" s="52" t="s">
        <v>388</v>
      </c>
      <c r="K134" s="52"/>
      <c r="L134" s="52" t="s">
        <v>331</v>
      </c>
      <c r="M134" s="68"/>
      <c r="N134" s="83"/>
      <c r="O134" s="70" t="str">
        <f t="shared" ref="O134:O154" si="40">IF(N134="No","û",IF(N134="Si","ü",IF(N134="NA","l","")))</f>
        <v/>
      </c>
      <c r="P134" s="52" t="s">
        <v>146</v>
      </c>
      <c r="Q134" s="52" t="s">
        <v>162</v>
      </c>
      <c r="R134" s="52" t="s">
        <v>128</v>
      </c>
      <c r="S134" s="52" t="s">
        <v>163</v>
      </c>
      <c r="T134" s="52"/>
      <c r="U134" s="52" t="s">
        <v>95</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443</v>
      </c>
      <c r="D135" s="56">
        <v>3</v>
      </c>
      <c r="E135" s="56" t="s">
        <v>484</v>
      </c>
      <c r="F135" s="61"/>
      <c r="G135" s="56" t="s">
        <v>27</v>
      </c>
      <c r="H135" s="56">
        <v>1</v>
      </c>
      <c r="I135" s="41" t="s">
        <v>463</v>
      </c>
      <c r="J135" s="56" t="s">
        <v>182</v>
      </c>
      <c r="K135" s="56"/>
      <c r="L135" s="52" t="s">
        <v>331</v>
      </c>
      <c r="M135" s="68"/>
      <c r="N135" s="83"/>
      <c r="O135" s="70" t="str">
        <f t="shared" si="40"/>
        <v/>
      </c>
      <c r="P135" s="56" t="s">
        <v>132</v>
      </c>
      <c r="Q135" s="41" t="s">
        <v>133</v>
      </c>
      <c r="R135" s="56"/>
      <c r="S135" s="56"/>
      <c r="T135" s="56"/>
      <c r="U135" s="56" t="s">
        <v>464</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443</v>
      </c>
      <c r="D136" s="52">
        <v>3</v>
      </c>
      <c r="E136" s="52" t="s">
        <v>484</v>
      </c>
      <c r="F136" s="53"/>
      <c r="G136" s="52" t="s">
        <v>202</v>
      </c>
      <c r="H136" s="52"/>
      <c r="I136" s="52"/>
      <c r="J136" s="52" t="s">
        <v>182</v>
      </c>
      <c r="K136" s="52" t="s">
        <v>174</v>
      </c>
      <c r="L136" s="52" t="s">
        <v>331</v>
      </c>
      <c r="M136" s="68"/>
      <c r="N136" s="83"/>
      <c r="O136" s="70" t="str">
        <f t="shared" si="40"/>
        <v/>
      </c>
      <c r="P136" s="52" t="s">
        <v>261</v>
      </c>
      <c r="Q136" s="52" t="s">
        <v>385</v>
      </c>
      <c r="R136" s="52"/>
      <c r="S136" s="52"/>
      <c r="T136" s="52"/>
      <c r="U136" s="52" t="s">
        <v>98</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443</v>
      </c>
      <c r="D137" s="52">
        <v>4</v>
      </c>
      <c r="E137" s="52" t="s">
        <v>485</v>
      </c>
      <c r="F137" s="53"/>
      <c r="G137" s="52" t="s">
        <v>202</v>
      </c>
      <c r="H137" s="52"/>
      <c r="I137" s="52"/>
      <c r="J137" s="52" t="s">
        <v>182</v>
      </c>
      <c r="K137" s="52" t="s">
        <v>174</v>
      </c>
      <c r="L137" s="52" t="s">
        <v>331</v>
      </c>
      <c r="M137" s="68"/>
      <c r="N137" s="83"/>
      <c r="O137" s="70" t="str">
        <f t="shared" si="40"/>
        <v/>
      </c>
      <c r="P137" s="52" t="s">
        <v>335</v>
      </c>
      <c r="Q137" s="52" t="s">
        <v>336</v>
      </c>
      <c r="R137" s="52"/>
      <c r="S137" s="52"/>
      <c r="T137" s="52"/>
      <c r="U137" s="52" t="s">
        <v>98</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443</v>
      </c>
      <c r="D138" s="52">
        <v>4</v>
      </c>
      <c r="E138" s="52" t="s">
        <v>485</v>
      </c>
      <c r="F138" s="53"/>
      <c r="G138" s="56" t="s">
        <v>27</v>
      </c>
      <c r="H138" s="52">
        <v>2</v>
      </c>
      <c r="I138" s="8" t="s">
        <v>465</v>
      </c>
      <c r="J138" s="52" t="s">
        <v>182</v>
      </c>
      <c r="K138" s="52" t="s">
        <v>174</v>
      </c>
      <c r="L138" s="52" t="s">
        <v>331</v>
      </c>
      <c r="M138" s="68"/>
      <c r="N138" s="83"/>
      <c r="O138" s="70" t="str">
        <f t="shared" si="40"/>
        <v/>
      </c>
      <c r="P138" s="52" t="s">
        <v>134</v>
      </c>
      <c r="Q138" s="8" t="s">
        <v>486</v>
      </c>
      <c r="R138" s="52"/>
      <c r="S138" s="52"/>
      <c r="T138" s="52"/>
      <c r="U138" s="52" t="s">
        <v>464</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443</v>
      </c>
      <c r="D139" s="58">
        <v>4</v>
      </c>
      <c r="E139" s="58" t="s">
        <v>485</v>
      </c>
      <c r="F139" s="58"/>
      <c r="G139" s="58" t="s">
        <v>554</v>
      </c>
      <c r="H139" s="58">
        <v>1</v>
      </c>
      <c r="I139" s="101" t="s">
        <v>164</v>
      </c>
      <c r="J139" s="58" t="s">
        <v>182</v>
      </c>
      <c r="K139" s="58" t="s">
        <v>174</v>
      </c>
      <c r="L139" s="58" t="s">
        <v>331</v>
      </c>
      <c r="M139" s="68"/>
      <c r="N139" s="83"/>
      <c r="O139" s="70" t="str">
        <f t="shared" si="40"/>
        <v/>
      </c>
      <c r="P139" s="101" t="s">
        <v>468</v>
      </c>
      <c r="Q139" s="101" t="s">
        <v>326</v>
      </c>
      <c r="R139" s="58"/>
      <c r="S139" s="58"/>
      <c r="T139" s="58"/>
      <c r="U139" s="58" t="s">
        <v>327</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443</v>
      </c>
      <c r="D140" s="52">
        <v>5</v>
      </c>
      <c r="E140" s="52" t="s">
        <v>487</v>
      </c>
      <c r="F140" s="53"/>
      <c r="G140" s="52" t="s">
        <v>202</v>
      </c>
      <c r="H140" s="52"/>
      <c r="I140" s="52"/>
      <c r="J140" s="52" t="s">
        <v>182</v>
      </c>
      <c r="K140" s="52"/>
      <c r="L140" s="52" t="s">
        <v>331</v>
      </c>
      <c r="M140" s="68"/>
      <c r="N140" s="83"/>
      <c r="O140" s="70" t="str">
        <f t="shared" si="40"/>
        <v/>
      </c>
      <c r="P140" s="52" t="s">
        <v>252</v>
      </c>
      <c r="Q140" s="52" t="s">
        <v>444</v>
      </c>
      <c r="R140" s="52"/>
      <c r="S140" s="52"/>
      <c r="T140" s="52"/>
      <c r="U140" s="52" t="s">
        <v>98</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443</v>
      </c>
      <c r="D141" s="52">
        <v>5</v>
      </c>
      <c r="E141" s="52" t="s">
        <v>487</v>
      </c>
      <c r="F141" s="53"/>
      <c r="G141" s="56" t="s">
        <v>27</v>
      </c>
      <c r="H141" s="52">
        <v>3</v>
      </c>
      <c r="I141" s="8" t="s">
        <v>135</v>
      </c>
      <c r="J141" s="52" t="s">
        <v>462</v>
      </c>
      <c r="K141" s="52" t="s">
        <v>466</v>
      </c>
      <c r="L141" s="52" t="s">
        <v>331</v>
      </c>
      <c r="M141" s="68"/>
      <c r="N141" s="83"/>
      <c r="O141" s="70" t="str">
        <f t="shared" si="40"/>
        <v/>
      </c>
      <c r="P141" s="52" t="s">
        <v>479</v>
      </c>
      <c r="Q141" s="8" t="s">
        <v>136</v>
      </c>
      <c r="R141" s="52"/>
      <c r="S141" s="52"/>
      <c r="T141" s="52"/>
      <c r="U141" s="52" t="s">
        <v>464</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443</v>
      </c>
      <c r="D142" s="52">
        <v>6</v>
      </c>
      <c r="E142" s="52" t="s">
        <v>543</v>
      </c>
      <c r="F142" s="53"/>
      <c r="G142" s="52" t="s">
        <v>202</v>
      </c>
      <c r="H142" s="52"/>
      <c r="I142" s="52"/>
      <c r="J142" s="52" t="s">
        <v>576</v>
      </c>
      <c r="K142" s="52" t="s">
        <v>182</v>
      </c>
      <c r="L142" s="52" t="s">
        <v>331</v>
      </c>
      <c r="M142" s="68"/>
      <c r="N142" s="83"/>
      <c r="O142" s="70" t="str">
        <f t="shared" si="40"/>
        <v/>
      </c>
      <c r="P142" s="52" t="s">
        <v>544</v>
      </c>
      <c r="Q142" s="52" t="s">
        <v>545</v>
      </c>
      <c r="R142" s="52"/>
      <c r="S142" s="52"/>
      <c r="T142" s="52"/>
      <c r="U142" s="52" t="s">
        <v>98</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443</v>
      </c>
      <c r="D143" s="52">
        <v>7</v>
      </c>
      <c r="E143" s="52" t="s">
        <v>546</v>
      </c>
      <c r="F143" s="53"/>
      <c r="G143" s="52" t="s">
        <v>202</v>
      </c>
      <c r="H143" s="52"/>
      <c r="I143" s="52"/>
      <c r="J143" s="52" t="s">
        <v>576</v>
      </c>
      <c r="K143" s="52" t="s">
        <v>182</v>
      </c>
      <c r="L143" s="52" t="s">
        <v>331</v>
      </c>
      <c r="M143" s="68"/>
      <c r="N143" s="83"/>
      <c r="O143" s="70" t="str">
        <f t="shared" si="40"/>
        <v/>
      </c>
      <c r="P143" s="52" t="s">
        <v>547</v>
      </c>
      <c r="Q143" s="52" t="s">
        <v>548</v>
      </c>
      <c r="R143" s="52"/>
      <c r="S143" s="52"/>
      <c r="T143" s="52"/>
      <c r="U143" s="52" t="s">
        <v>98</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443</v>
      </c>
      <c r="D144" s="52">
        <v>6</v>
      </c>
      <c r="E144" s="52" t="s">
        <v>546</v>
      </c>
      <c r="F144" s="53"/>
      <c r="G144" s="56" t="s">
        <v>27</v>
      </c>
      <c r="H144" s="52">
        <v>4</v>
      </c>
      <c r="I144" s="8" t="s">
        <v>137</v>
      </c>
      <c r="J144" s="52" t="s">
        <v>576</v>
      </c>
      <c r="K144" s="52" t="s">
        <v>466</v>
      </c>
      <c r="L144" s="52" t="s">
        <v>331</v>
      </c>
      <c r="M144" s="68"/>
      <c r="N144" s="83"/>
      <c r="O144" s="70" t="str">
        <f t="shared" si="40"/>
        <v/>
      </c>
      <c r="P144" s="52" t="s">
        <v>136</v>
      </c>
      <c r="Q144" s="8" t="s">
        <v>288</v>
      </c>
      <c r="R144" s="52"/>
      <c r="S144" s="52"/>
      <c r="T144" s="52"/>
      <c r="U144" s="52" t="s">
        <v>464</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443</v>
      </c>
      <c r="D145" s="52">
        <v>8</v>
      </c>
      <c r="E145" s="52" t="s">
        <v>488</v>
      </c>
      <c r="F145" s="53"/>
      <c r="G145" s="52" t="s">
        <v>202</v>
      </c>
      <c r="H145" s="52"/>
      <c r="I145" s="52"/>
      <c r="J145" s="52" t="s">
        <v>576</v>
      </c>
      <c r="K145" s="52"/>
      <c r="L145" s="52" t="s">
        <v>331</v>
      </c>
      <c r="M145" s="68"/>
      <c r="N145" s="83"/>
      <c r="O145" s="70" t="str">
        <f t="shared" si="40"/>
        <v/>
      </c>
      <c r="P145" s="52" t="s">
        <v>253</v>
      </c>
      <c r="Q145" s="52" t="s">
        <v>386</v>
      </c>
      <c r="R145" s="52"/>
      <c r="S145" s="52"/>
      <c r="T145" s="52"/>
      <c r="U145" s="52" t="s">
        <v>98</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443</v>
      </c>
      <c r="D146" s="52">
        <v>9</v>
      </c>
      <c r="E146" s="52" t="s">
        <v>489</v>
      </c>
      <c r="F146" s="53"/>
      <c r="G146" s="52" t="s">
        <v>202</v>
      </c>
      <c r="H146" s="52"/>
      <c r="I146" s="52"/>
      <c r="J146" s="52" t="s">
        <v>182</v>
      </c>
      <c r="K146" s="52" t="s">
        <v>575</v>
      </c>
      <c r="L146" s="52" t="s">
        <v>331</v>
      </c>
      <c r="M146" s="68"/>
      <c r="N146" s="83"/>
      <c r="O146" s="70" t="str">
        <f t="shared" si="40"/>
        <v/>
      </c>
      <c r="P146" s="52" t="s">
        <v>254</v>
      </c>
      <c r="Q146" s="52" t="s">
        <v>445</v>
      </c>
      <c r="R146" s="52"/>
      <c r="S146" s="52"/>
      <c r="T146" s="52"/>
      <c r="U146" s="52" t="s">
        <v>98</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443</v>
      </c>
      <c r="D147" s="52">
        <v>10</v>
      </c>
      <c r="E147" s="52" t="s">
        <v>255</v>
      </c>
      <c r="F147" s="53"/>
      <c r="G147" s="52" t="s">
        <v>202</v>
      </c>
      <c r="H147" s="52"/>
      <c r="I147" s="52"/>
      <c r="J147" s="52" t="s">
        <v>576</v>
      </c>
      <c r="K147" s="52" t="s">
        <v>257</v>
      </c>
      <c r="L147" s="52" t="s">
        <v>331</v>
      </c>
      <c r="M147" s="68"/>
      <c r="N147" s="83"/>
      <c r="O147" s="70" t="str">
        <f t="shared" si="40"/>
        <v/>
      </c>
      <c r="P147" s="52" t="s">
        <v>480</v>
      </c>
      <c r="Q147" s="52" t="s">
        <v>481</v>
      </c>
      <c r="R147" s="52"/>
      <c r="S147" s="52"/>
      <c r="T147" s="52"/>
      <c r="U147" s="52" t="s">
        <v>98</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443</v>
      </c>
      <c r="D148" s="52">
        <v>11</v>
      </c>
      <c r="E148" s="52" t="s">
        <v>256</v>
      </c>
      <c r="F148" s="53"/>
      <c r="G148" s="52" t="s">
        <v>202</v>
      </c>
      <c r="H148" s="52"/>
      <c r="I148" s="52"/>
      <c r="J148" s="52" t="s">
        <v>576</v>
      </c>
      <c r="K148" s="52" t="s">
        <v>258</v>
      </c>
      <c r="L148" s="52" t="s">
        <v>331</v>
      </c>
      <c r="M148" s="68"/>
      <c r="N148" s="83"/>
      <c r="O148" s="70" t="str">
        <f t="shared" si="40"/>
        <v/>
      </c>
      <c r="P148" s="52" t="s">
        <v>259</v>
      </c>
      <c r="Q148" s="52" t="s">
        <v>153</v>
      </c>
      <c r="R148" s="52"/>
      <c r="S148" s="52"/>
      <c r="T148" s="52"/>
      <c r="U148" s="52" t="s">
        <v>98</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443</v>
      </c>
      <c r="D149" s="52">
        <v>12</v>
      </c>
      <c r="E149" s="52" t="s">
        <v>384</v>
      </c>
      <c r="F149" s="53"/>
      <c r="G149" s="52" t="s">
        <v>202</v>
      </c>
      <c r="H149" s="52"/>
      <c r="I149" s="52"/>
      <c r="J149" s="52" t="s">
        <v>576</v>
      </c>
      <c r="K149" s="52"/>
      <c r="L149" s="52" t="s">
        <v>331</v>
      </c>
      <c r="M149" s="68"/>
      <c r="N149" s="83"/>
      <c r="O149" s="70" t="str">
        <f t="shared" si="40"/>
        <v/>
      </c>
      <c r="P149" s="52" t="s">
        <v>483</v>
      </c>
      <c r="Q149" s="52" t="s">
        <v>445</v>
      </c>
      <c r="R149" s="52"/>
      <c r="S149" s="52"/>
      <c r="T149" s="52"/>
      <c r="U149" s="52" t="s">
        <v>98</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443</v>
      </c>
      <c r="D150" s="52">
        <v>13</v>
      </c>
      <c r="E150" s="52" t="s">
        <v>442</v>
      </c>
      <c r="F150" s="53"/>
      <c r="G150" s="52" t="s">
        <v>202</v>
      </c>
      <c r="H150" s="52"/>
      <c r="I150" s="52"/>
      <c r="J150" s="52" t="s">
        <v>182</v>
      </c>
      <c r="K150" s="52"/>
      <c r="L150" s="52" t="s">
        <v>331</v>
      </c>
      <c r="M150" s="68"/>
      <c r="N150" s="83"/>
      <c r="O150" s="70" t="str">
        <f t="shared" si="40"/>
        <v/>
      </c>
      <c r="P150" s="52" t="s">
        <v>260</v>
      </c>
      <c r="Q150" s="52" t="s">
        <v>446</v>
      </c>
      <c r="R150" s="52"/>
      <c r="S150" s="52"/>
      <c r="T150" s="52"/>
      <c r="U150" s="52" t="s">
        <v>98</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443</v>
      </c>
      <c r="D151" s="52">
        <v>10</v>
      </c>
      <c r="E151" s="52" t="s">
        <v>442</v>
      </c>
      <c r="F151" s="53"/>
      <c r="G151" s="52" t="s">
        <v>453</v>
      </c>
      <c r="H151" s="52">
        <v>9.1</v>
      </c>
      <c r="I151" s="52" t="s">
        <v>272</v>
      </c>
      <c r="J151" s="52" t="s">
        <v>201</v>
      </c>
      <c r="K151" s="52" t="s">
        <v>182</v>
      </c>
      <c r="L151" s="52" t="s">
        <v>331</v>
      </c>
      <c r="M151" s="68"/>
      <c r="N151" s="83"/>
      <c r="O151" s="70" t="str">
        <f t="shared" si="40"/>
        <v/>
      </c>
      <c r="P151" s="43" t="s">
        <v>166</v>
      </c>
      <c r="Q151" s="52" t="s">
        <v>138</v>
      </c>
      <c r="R151" s="52" t="s">
        <v>263</v>
      </c>
      <c r="S151" s="52"/>
      <c r="T151" s="52"/>
      <c r="U151" s="52" t="s">
        <v>108</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443</v>
      </c>
      <c r="D152" s="52">
        <v>10</v>
      </c>
      <c r="E152" s="52" t="s">
        <v>442</v>
      </c>
      <c r="F152" s="53"/>
      <c r="G152" s="52" t="s">
        <v>453</v>
      </c>
      <c r="H152" s="52">
        <v>9.1999999999999993</v>
      </c>
      <c r="I152" s="52" t="s">
        <v>264</v>
      </c>
      <c r="J152" s="52" t="s">
        <v>182</v>
      </c>
      <c r="K152" s="52" t="s">
        <v>201</v>
      </c>
      <c r="L152" s="52" t="s">
        <v>331</v>
      </c>
      <c r="M152" s="68"/>
      <c r="N152" s="83"/>
      <c r="O152" s="70" t="str">
        <f t="shared" si="40"/>
        <v/>
      </c>
      <c r="P152" s="52" t="s">
        <v>139</v>
      </c>
      <c r="Q152" s="52" t="s">
        <v>141</v>
      </c>
      <c r="R152" s="52" t="s">
        <v>263</v>
      </c>
      <c r="S152" s="52"/>
      <c r="T152" s="52"/>
      <c r="U152" s="52" t="s">
        <v>108</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443</v>
      </c>
      <c r="D153" s="52">
        <v>10</v>
      </c>
      <c r="E153" s="52" t="s">
        <v>442</v>
      </c>
      <c r="F153" s="53"/>
      <c r="G153" s="52" t="s">
        <v>453</v>
      </c>
      <c r="H153" s="52">
        <v>9.4</v>
      </c>
      <c r="I153" s="52" t="s">
        <v>265</v>
      </c>
      <c r="J153" s="52" t="s">
        <v>182</v>
      </c>
      <c r="K153" s="52" t="s">
        <v>201</v>
      </c>
      <c r="L153" s="52" t="s">
        <v>331</v>
      </c>
      <c r="M153" s="68"/>
      <c r="N153" s="83"/>
      <c r="O153" s="70" t="str">
        <f t="shared" si="40"/>
        <v/>
      </c>
      <c r="P153" s="52" t="s">
        <v>140</v>
      </c>
      <c r="Q153" s="52" t="s">
        <v>142</v>
      </c>
      <c r="R153" s="52" t="s">
        <v>263</v>
      </c>
      <c r="S153" s="52"/>
      <c r="T153" s="52"/>
      <c r="U153" s="52" t="s">
        <v>108</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443</v>
      </c>
      <c r="D154" s="60">
        <v>10</v>
      </c>
      <c r="E154" s="60" t="s">
        <v>442</v>
      </c>
      <c r="F154" s="84"/>
      <c r="G154" s="52" t="s">
        <v>453</v>
      </c>
      <c r="H154" s="60">
        <v>9.6</v>
      </c>
      <c r="I154" s="60" t="s">
        <v>266</v>
      </c>
      <c r="J154" s="60" t="s">
        <v>182</v>
      </c>
      <c r="K154" s="60" t="s">
        <v>201</v>
      </c>
      <c r="L154" s="60" t="s">
        <v>331</v>
      </c>
      <c r="M154" s="80"/>
      <c r="N154" s="106"/>
      <c r="O154" s="82" t="str">
        <f t="shared" si="40"/>
        <v/>
      </c>
      <c r="P154" s="60" t="s">
        <v>139</v>
      </c>
      <c r="Q154" s="60" t="s">
        <v>323</v>
      </c>
      <c r="R154" s="60" t="s">
        <v>263</v>
      </c>
      <c r="S154" s="60"/>
      <c r="T154" s="60"/>
      <c r="U154" s="60" t="s">
        <v>108</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387</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387</v>
      </c>
      <c r="D156" s="73">
        <v>1</v>
      </c>
      <c r="E156" s="73" t="s">
        <v>447</v>
      </c>
      <c r="F156" s="74"/>
      <c r="G156" s="52" t="s">
        <v>202</v>
      </c>
      <c r="H156" s="73"/>
      <c r="I156" s="73"/>
      <c r="J156" s="73" t="s">
        <v>182</v>
      </c>
      <c r="K156" s="73" t="s">
        <v>576</v>
      </c>
      <c r="L156" s="73" t="s">
        <v>331</v>
      </c>
      <c r="M156" s="76"/>
      <c r="N156" s="83"/>
      <c r="O156" s="69" t="str">
        <f t="shared" ref="O156:O165" si="48">IF(N156="No","û",IF(N156="Si","ü",IF(N156="NA","l","")))</f>
        <v/>
      </c>
      <c r="P156" s="73" t="s">
        <v>337</v>
      </c>
      <c r="Q156" s="73" t="s">
        <v>450</v>
      </c>
      <c r="R156" s="73"/>
      <c r="S156" s="73"/>
      <c r="T156" s="73"/>
      <c r="U156" s="73" t="s">
        <v>98</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387</v>
      </c>
      <c r="D157" s="52">
        <v>2</v>
      </c>
      <c r="E157" s="52" t="s">
        <v>448</v>
      </c>
      <c r="F157" s="53"/>
      <c r="G157" s="52" t="s">
        <v>202</v>
      </c>
      <c r="H157" s="52"/>
      <c r="I157" s="52"/>
      <c r="J157" s="52" t="s">
        <v>182</v>
      </c>
      <c r="K157" s="52" t="s">
        <v>174</v>
      </c>
      <c r="L157" s="52" t="s">
        <v>331</v>
      </c>
      <c r="M157" s="68"/>
      <c r="N157" s="83"/>
      <c r="O157" s="70" t="str">
        <f t="shared" si="48"/>
        <v/>
      </c>
      <c r="P157" s="52" t="s">
        <v>337</v>
      </c>
      <c r="Q157" s="52" t="s">
        <v>451</v>
      </c>
      <c r="R157" s="52"/>
      <c r="S157" s="52"/>
      <c r="T157" s="52"/>
      <c r="U157" s="52" t="s">
        <v>98</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387</v>
      </c>
      <c r="D158" s="52">
        <v>2</v>
      </c>
      <c r="E158" s="52" t="s">
        <v>448</v>
      </c>
      <c r="F158" s="53"/>
      <c r="G158" s="52" t="s">
        <v>283</v>
      </c>
      <c r="H158" s="52">
        <v>1</v>
      </c>
      <c r="I158" s="55" t="s">
        <v>279</v>
      </c>
      <c r="J158" s="52" t="s">
        <v>182</v>
      </c>
      <c r="K158" s="52" t="s">
        <v>174</v>
      </c>
      <c r="L158" s="52" t="s">
        <v>331</v>
      </c>
      <c r="M158" s="68"/>
      <c r="N158" s="83"/>
      <c r="O158" s="70" t="str">
        <f t="shared" si="48"/>
        <v/>
      </c>
      <c r="P158" s="52" t="s">
        <v>555</v>
      </c>
      <c r="Q158" s="52" t="s">
        <v>281</v>
      </c>
      <c r="R158" s="52"/>
      <c r="S158" s="52"/>
      <c r="T158" s="52"/>
      <c r="U158" s="52" t="s">
        <v>96</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387</v>
      </c>
      <c r="D159" s="52">
        <v>3</v>
      </c>
      <c r="E159" s="52" t="s">
        <v>448</v>
      </c>
      <c r="F159" s="56" t="s">
        <v>213</v>
      </c>
      <c r="G159" s="52" t="s">
        <v>28</v>
      </c>
      <c r="H159" s="56">
        <v>1</v>
      </c>
      <c r="I159" s="56" t="s">
        <v>458</v>
      </c>
      <c r="J159" s="52" t="s">
        <v>182</v>
      </c>
      <c r="K159" s="52"/>
      <c r="L159" s="52" t="s">
        <v>331</v>
      </c>
      <c r="M159" s="68"/>
      <c r="N159" s="83"/>
      <c r="O159" s="70" t="str">
        <f t="shared" si="48"/>
        <v/>
      </c>
      <c r="P159" s="52" t="s">
        <v>148</v>
      </c>
      <c r="Q159" s="52" t="s">
        <v>155</v>
      </c>
      <c r="R159" s="52" t="s">
        <v>128</v>
      </c>
      <c r="S159" s="52"/>
      <c r="T159" s="52"/>
      <c r="U159" s="52" t="s">
        <v>95</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387</v>
      </c>
      <c r="D160" s="52">
        <v>2</v>
      </c>
      <c r="E160" s="52" t="s">
        <v>448</v>
      </c>
      <c r="F160" s="56"/>
      <c r="G160" s="52" t="s">
        <v>584</v>
      </c>
      <c r="H160" s="52">
        <v>1</v>
      </c>
      <c r="I160" s="52" t="s">
        <v>471</v>
      </c>
      <c r="J160" s="52" t="s">
        <v>314</v>
      </c>
      <c r="K160" s="52"/>
      <c r="L160" s="52" t="s">
        <v>331</v>
      </c>
      <c r="M160" s="68"/>
      <c r="N160" s="83"/>
      <c r="O160" s="70" t="str">
        <f t="shared" si="48"/>
        <v/>
      </c>
      <c r="P160" s="52" t="s">
        <v>104</v>
      </c>
      <c r="Q160" s="8" t="s">
        <v>143</v>
      </c>
      <c r="R160" s="52"/>
      <c r="S160" s="52"/>
      <c r="T160" s="52"/>
      <c r="U160" s="52" t="s">
        <v>97</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387</v>
      </c>
      <c r="D161" s="52">
        <v>2</v>
      </c>
      <c r="E161" s="52" t="s">
        <v>448</v>
      </c>
      <c r="F161" s="56"/>
      <c r="G161" s="52" t="s">
        <v>584</v>
      </c>
      <c r="H161" s="52">
        <v>2</v>
      </c>
      <c r="I161" s="52" t="s">
        <v>473</v>
      </c>
      <c r="J161" s="52" t="s">
        <v>314</v>
      </c>
      <c r="K161" s="52" t="s">
        <v>182</v>
      </c>
      <c r="L161" s="52" t="s">
        <v>331</v>
      </c>
      <c r="M161" s="68"/>
      <c r="N161" s="83"/>
      <c r="O161" s="70" t="str">
        <f t="shared" si="48"/>
        <v/>
      </c>
      <c r="P161" s="52" t="s">
        <v>143</v>
      </c>
      <c r="Q161" s="8" t="s">
        <v>144</v>
      </c>
      <c r="R161" s="52"/>
      <c r="S161" s="52"/>
      <c r="T161" s="52"/>
      <c r="U161" s="52" t="s">
        <v>97</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387</v>
      </c>
      <c r="D162" s="52">
        <v>2</v>
      </c>
      <c r="E162" s="52" t="s">
        <v>448</v>
      </c>
      <c r="F162" s="56"/>
      <c r="G162" s="52" t="s">
        <v>584</v>
      </c>
      <c r="H162" s="52">
        <v>3</v>
      </c>
      <c r="I162" s="52" t="s">
        <v>474</v>
      </c>
      <c r="J162" s="52" t="s">
        <v>182</v>
      </c>
      <c r="K162" s="52" t="s">
        <v>314</v>
      </c>
      <c r="L162" s="52" t="s">
        <v>331</v>
      </c>
      <c r="M162" s="68"/>
      <c r="N162" s="83"/>
      <c r="O162" s="70" t="str">
        <f t="shared" si="48"/>
        <v/>
      </c>
      <c r="P162" s="52" t="s">
        <v>144</v>
      </c>
      <c r="Q162" s="8" t="s">
        <v>144</v>
      </c>
      <c r="R162" s="52"/>
      <c r="S162" s="52"/>
      <c r="T162" s="52"/>
      <c r="U162" s="52" t="s">
        <v>97</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387</v>
      </c>
      <c r="D163" s="52">
        <v>2</v>
      </c>
      <c r="E163" s="52" t="s">
        <v>448</v>
      </c>
      <c r="F163" s="56"/>
      <c r="G163" s="52" t="s">
        <v>584</v>
      </c>
      <c r="H163" s="52">
        <v>4</v>
      </c>
      <c r="I163" s="52" t="s">
        <v>475</v>
      </c>
      <c r="J163" s="52" t="s">
        <v>314</v>
      </c>
      <c r="K163" s="52" t="s">
        <v>182</v>
      </c>
      <c r="L163" s="52" t="s">
        <v>331</v>
      </c>
      <c r="M163" s="68"/>
      <c r="N163" s="83"/>
      <c r="O163" s="70" t="str">
        <f t="shared" si="48"/>
        <v/>
      </c>
      <c r="P163" s="52" t="s">
        <v>145</v>
      </c>
      <c r="Q163" s="8" t="s">
        <v>145</v>
      </c>
      <c r="R163" s="52"/>
      <c r="S163" s="52"/>
      <c r="T163" s="52"/>
      <c r="U163" s="52" t="s">
        <v>97</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387</v>
      </c>
      <c r="D164" s="52">
        <v>2</v>
      </c>
      <c r="E164" s="52" t="s">
        <v>448</v>
      </c>
      <c r="F164" s="56" t="s">
        <v>490</v>
      </c>
      <c r="G164" s="52" t="s">
        <v>28</v>
      </c>
      <c r="H164" s="56">
        <v>2</v>
      </c>
      <c r="I164" s="56" t="s">
        <v>458</v>
      </c>
      <c r="J164" s="52" t="s">
        <v>314</v>
      </c>
      <c r="K164" s="52"/>
      <c r="L164" s="52" t="s">
        <v>331</v>
      </c>
      <c r="M164" s="68"/>
      <c r="N164" s="83"/>
      <c r="O164" s="70" t="str">
        <f t="shared" si="48"/>
        <v/>
      </c>
      <c r="P164" s="52" t="s">
        <v>148</v>
      </c>
      <c r="Q164" s="52" t="s">
        <v>160</v>
      </c>
      <c r="R164" s="52" t="s">
        <v>128</v>
      </c>
      <c r="S164" s="52"/>
      <c r="T164" s="52"/>
      <c r="U164" s="52" t="s">
        <v>130</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387</v>
      </c>
      <c r="D165" s="52">
        <v>2</v>
      </c>
      <c r="E165" s="52" t="s">
        <v>448</v>
      </c>
      <c r="F165" s="56" t="s">
        <v>490</v>
      </c>
      <c r="G165" s="52" t="s">
        <v>28</v>
      </c>
      <c r="H165" s="56">
        <v>8</v>
      </c>
      <c r="I165" s="56" t="s">
        <v>529</v>
      </c>
      <c r="J165" s="52" t="s">
        <v>388</v>
      </c>
      <c r="K165" s="52"/>
      <c r="L165" s="52" t="s">
        <v>331</v>
      </c>
      <c r="M165" s="68"/>
      <c r="N165" s="83"/>
      <c r="O165" s="70" t="str">
        <f t="shared" si="48"/>
        <v/>
      </c>
      <c r="P165" s="52" t="s">
        <v>148</v>
      </c>
      <c r="Q165" s="52" t="s">
        <v>127</v>
      </c>
      <c r="R165" s="52"/>
      <c r="S165" s="52"/>
      <c r="T165" s="52"/>
      <c r="U165" s="52" t="s">
        <v>106</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387</v>
      </c>
      <c r="D166" s="52">
        <v>2</v>
      </c>
      <c r="E166" s="52" t="s">
        <v>448</v>
      </c>
      <c r="F166" s="52" t="s">
        <v>282</v>
      </c>
      <c r="G166" s="52"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387</v>
      </c>
      <c r="D167" s="52">
        <v>3</v>
      </c>
      <c r="E167" s="52" t="s">
        <v>449</v>
      </c>
      <c r="F167" s="53"/>
      <c r="G167" s="52" t="s">
        <v>28</v>
      </c>
      <c r="H167" s="52"/>
      <c r="I167" s="52"/>
      <c r="J167" s="52" t="s">
        <v>388</v>
      </c>
      <c r="K167" s="52" t="s">
        <v>583</v>
      </c>
      <c r="L167" s="52" t="s">
        <v>331</v>
      </c>
      <c r="M167" s="68"/>
      <c r="N167" s="83"/>
      <c r="O167" s="70" t="str">
        <f>IF(N167="No","û",IF(N167="Si","ü",IF(N167="NA","l","")))</f>
        <v/>
      </c>
      <c r="P167" s="52" t="s">
        <v>338</v>
      </c>
      <c r="Q167" s="52" t="s">
        <v>452</v>
      </c>
      <c r="R167" s="52"/>
      <c r="S167" s="52"/>
      <c r="T167" s="52"/>
      <c r="U167" s="52" t="s">
        <v>98</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387</v>
      </c>
      <c r="D168" s="52">
        <v>4</v>
      </c>
      <c r="E168" s="52" t="s">
        <v>449</v>
      </c>
      <c r="F168" s="56" t="s">
        <v>490</v>
      </c>
      <c r="G168" s="52" t="s">
        <v>28</v>
      </c>
      <c r="H168" s="56">
        <v>5</v>
      </c>
      <c r="I168" s="56" t="s">
        <v>564</v>
      </c>
      <c r="J168" s="52" t="s">
        <v>388</v>
      </c>
      <c r="K168" s="52"/>
      <c r="L168" s="52" t="s">
        <v>331</v>
      </c>
      <c r="M168" s="68"/>
      <c r="N168" s="83"/>
      <c r="O168" s="70" t="str">
        <f>IF(N168="No","û",IF(N168="Si","ü",IF(N168="NA","l","")))</f>
        <v/>
      </c>
      <c r="P168" s="52" t="s">
        <v>148</v>
      </c>
      <c r="Q168" s="52" t="s">
        <v>162</v>
      </c>
      <c r="R168" s="52" t="s">
        <v>128</v>
      </c>
      <c r="S168" s="52"/>
      <c r="T168" s="52"/>
      <c r="U168" s="52" t="s">
        <v>95</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2:D2"/>
    <mergeCell ref="B3:D3"/>
    <mergeCell ref="B4:D4"/>
    <mergeCell ref="B5:D5"/>
    <mergeCell ref="D9:E9"/>
    <mergeCell ref="H3:I3"/>
    <mergeCell ref="H4:I4"/>
    <mergeCell ref="H5:I5"/>
    <mergeCell ref="H9:I9"/>
    <mergeCell ref="G9:G10"/>
    <mergeCell ref="B9:B10"/>
    <mergeCell ref="B6:D6"/>
    <mergeCell ref="B81:E81"/>
    <mergeCell ref="V9:V10"/>
    <mergeCell ref="R9:R10"/>
    <mergeCell ref="S9:S10"/>
    <mergeCell ref="L9:L10"/>
    <mergeCell ref="C9:C10"/>
    <mergeCell ref="T9:T10"/>
    <mergeCell ref="U9:U10"/>
    <mergeCell ref="M9:M10"/>
    <mergeCell ref="N9:O10"/>
    <mergeCell ref="Q9:Q10"/>
    <mergeCell ref="J9:J10"/>
    <mergeCell ref="K9:K10"/>
    <mergeCell ref="P9:P10"/>
  </mergeCells>
  <phoneticPr fontId="7"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22"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298" t="s">
        <v>509</v>
      </c>
      <c r="B2" s="299"/>
      <c r="C2" s="299"/>
      <c r="D2" s="299"/>
      <c r="E2" s="299"/>
      <c r="F2" s="299"/>
      <c r="G2" s="93"/>
      <c r="H2" s="93"/>
      <c r="I2" s="94"/>
      <c r="J2" s="93"/>
      <c r="K2" s="93"/>
      <c r="L2" s="93"/>
      <c r="M2" s="93"/>
      <c r="N2" s="93"/>
      <c r="O2" s="93"/>
      <c r="P2" s="93"/>
      <c r="Q2" s="95"/>
    </row>
    <row r="4" spans="1:17" s="92" customFormat="1" ht="39" customHeight="1" thickBot="1">
      <c r="A4" s="91" t="s">
        <v>171</v>
      </c>
      <c r="B4" s="91" t="s">
        <v>289</v>
      </c>
      <c r="C4" s="91" t="s">
        <v>517</v>
      </c>
      <c r="D4" s="91" t="s">
        <v>513</v>
      </c>
      <c r="E4" s="91" t="s">
        <v>284</v>
      </c>
      <c r="F4" s="91" t="s">
        <v>285</v>
      </c>
      <c r="G4" s="91" t="s">
        <v>23</v>
      </c>
      <c r="H4" s="91" t="s">
        <v>287</v>
      </c>
      <c r="I4" s="91" t="s">
        <v>299</v>
      </c>
      <c r="J4" s="91" t="s">
        <v>293</v>
      </c>
      <c r="K4" s="91" t="s">
        <v>298</v>
      </c>
      <c r="L4" s="91" t="s">
        <v>297</v>
      </c>
      <c r="M4" s="91" t="s">
        <v>294</v>
      </c>
      <c r="N4" s="91" t="s">
        <v>295</v>
      </c>
      <c r="O4" s="91" t="s">
        <v>216</v>
      </c>
      <c r="P4" s="157" t="s">
        <v>296</v>
      </c>
      <c r="Q4" s="157" t="s">
        <v>353</v>
      </c>
    </row>
    <row r="5" spans="1:17" ht="34.5" thickBot="1">
      <c r="A5" s="96">
        <v>1</v>
      </c>
      <c r="B5" s="97">
        <v>1</v>
      </c>
      <c r="C5" s="97" t="s">
        <v>18</v>
      </c>
      <c r="D5" s="85" t="s">
        <v>20</v>
      </c>
      <c r="E5" s="86" t="s">
        <v>175</v>
      </c>
      <c r="F5" s="85" t="s">
        <v>439</v>
      </c>
      <c r="G5" s="87"/>
      <c r="H5" s="87" t="s">
        <v>21</v>
      </c>
      <c r="I5" s="87" t="s">
        <v>585</v>
      </c>
      <c r="J5" s="88" t="s">
        <v>19</v>
      </c>
      <c r="K5" s="86" t="s">
        <v>21</v>
      </c>
      <c r="L5" s="86" t="s">
        <v>47</v>
      </c>
      <c r="M5" s="89">
        <v>39143</v>
      </c>
      <c r="N5" s="90"/>
      <c r="O5" s="155"/>
      <c r="P5" s="158">
        <f>IF(N5&gt;0,1,0)</f>
        <v>0</v>
      </c>
      <c r="Q5" s="159" t="str">
        <f t="shared" ref="Q5:Q21" si="0">TEXT(B5,"0000")&amp;LEFT(I5,1)</f>
        <v>0001E</v>
      </c>
    </row>
    <row r="6" spans="1:17" ht="14.25" thickBot="1">
      <c r="A6" s="96">
        <v>2</v>
      </c>
      <c r="B6" s="97">
        <v>1</v>
      </c>
      <c r="C6" s="97"/>
      <c r="D6" s="85"/>
      <c r="E6" s="86"/>
      <c r="F6" s="85"/>
      <c r="G6" s="87" t="s">
        <v>27</v>
      </c>
      <c r="H6" s="87"/>
      <c r="I6" s="87" t="s">
        <v>585</v>
      </c>
      <c r="J6" s="88"/>
      <c r="K6" s="86"/>
      <c r="L6" s="86" t="s">
        <v>62</v>
      </c>
      <c r="M6" s="89">
        <v>39145</v>
      </c>
      <c r="N6" s="90"/>
      <c r="O6" s="155"/>
      <c r="P6" s="160">
        <f t="shared" ref="P6:P21" si="1">IF(N6&gt;0,1,0)</f>
        <v>0</v>
      </c>
      <c r="Q6" s="159" t="str">
        <f t="shared" si="0"/>
        <v>0001E</v>
      </c>
    </row>
    <row r="7" spans="1:17" ht="14.25" thickBot="1">
      <c r="A7" s="96">
        <v>3</v>
      </c>
      <c r="B7" s="97">
        <v>1</v>
      </c>
      <c r="C7" s="97"/>
      <c r="D7" s="85"/>
      <c r="E7" s="86"/>
      <c r="F7" s="85"/>
      <c r="G7" s="87" t="s">
        <v>584</v>
      </c>
      <c r="H7" s="87"/>
      <c r="I7" s="87" t="s">
        <v>585</v>
      </c>
      <c r="J7" s="88"/>
      <c r="K7" s="86"/>
      <c r="L7" s="86" t="s">
        <v>71</v>
      </c>
      <c r="M7" s="89">
        <v>39147</v>
      </c>
      <c r="N7" s="89">
        <v>39146</v>
      </c>
      <c r="O7" s="156"/>
      <c r="P7" s="160">
        <f t="shared" si="1"/>
        <v>1</v>
      </c>
      <c r="Q7" s="159" t="str">
        <f t="shared" si="0"/>
        <v>0001E</v>
      </c>
    </row>
    <row r="8" spans="1:17" ht="14.25" thickBot="1">
      <c r="A8" s="96">
        <v>4</v>
      </c>
      <c r="B8" s="97">
        <v>1</v>
      </c>
      <c r="C8" s="97"/>
      <c r="D8" s="85"/>
      <c r="E8" s="86"/>
      <c r="F8" s="85"/>
      <c r="G8" s="87"/>
      <c r="H8" s="87"/>
      <c r="I8" s="87" t="s">
        <v>508</v>
      </c>
      <c r="J8" s="88"/>
      <c r="K8" s="86"/>
      <c r="L8" s="86" t="s">
        <v>70</v>
      </c>
      <c r="M8" s="89">
        <v>39149</v>
      </c>
      <c r="N8" s="89">
        <v>39149</v>
      </c>
      <c r="O8" s="156"/>
      <c r="P8" s="160">
        <f>IF(N8&gt;0,1,0)</f>
        <v>1</v>
      </c>
      <c r="Q8" s="159" t="str">
        <f t="shared" si="0"/>
        <v>0001A</v>
      </c>
    </row>
    <row r="9" spans="1:17" ht="14.25" thickBot="1">
      <c r="A9" s="96">
        <v>5</v>
      </c>
      <c r="B9" s="97">
        <v>1</v>
      </c>
      <c r="C9" s="97"/>
      <c r="D9" s="85"/>
      <c r="E9" s="86"/>
      <c r="F9" s="85"/>
      <c r="G9" s="87"/>
      <c r="H9" s="87"/>
      <c r="I9" s="87" t="s">
        <v>508</v>
      </c>
      <c r="J9" s="88"/>
      <c r="K9" s="86"/>
      <c r="L9" s="86" t="s">
        <v>44</v>
      </c>
      <c r="M9" s="89">
        <v>39151</v>
      </c>
      <c r="N9" s="89">
        <v>39171</v>
      </c>
      <c r="O9" s="156"/>
      <c r="P9" s="160">
        <f t="shared" si="1"/>
        <v>1</v>
      </c>
      <c r="Q9" s="159" t="str">
        <f t="shared" si="0"/>
        <v>0001A</v>
      </c>
    </row>
    <row r="10" spans="1:17" ht="14.25" thickBot="1">
      <c r="A10" s="96">
        <v>6</v>
      </c>
      <c r="B10" s="97">
        <v>1</v>
      </c>
      <c r="C10" s="97"/>
      <c r="D10" s="85"/>
      <c r="E10" s="86"/>
      <c r="F10" s="85"/>
      <c r="G10" s="87"/>
      <c r="H10" s="87"/>
      <c r="I10" s="87" t="s">
        <v>508</v>
      </c>
      <c r="J10" s="88"/>
      <c r="K10" s="86"/>
      <c r="L10" s="86" t="s">
        <v>45</v>
      </c>
      <c r="M10" s="89">
        <v>39153</v>
      </c>
      <c r="N10" s="89">
        <v>39146</v>
      </c>
      <c r="O10" s="156"/>
      <c r="P10" s="160">
        <f t="shared" si="1"/>
        <v>1</v>
      </c>
      <c r="Q10" s="159" t="str">
        <f t="shared" si="0"/>
        <v>0001A</v>
      </c>
    </row>
    <row r="11" spans="1:17" ht="14.25" thickBot="1">
      <c r="A11" s="96">
        <v>7</v>
      </c>
      <c r="B11" s="97">
        <v>2</v>
      </c>
      <c r="C11" s="97"/>
      <c r="D11" s="85"/>
      <c r="E11" s="86"/>
      <c r="F11" s="85"/>
      <c r="G11" s="87"/>
      <c r="H11" s="87"/>
      <c r="I11" s="87" t="s">
        <v>508</v>
      </c>
      <c r="J11" s="88"/>
      <c r="K11" s="86"/>
      <c r="L11" s="86" t="s">
        <v>46</v>
      </c>
      <c r="M11" s="89">
        <v>39155</v>
      </c>
      <c r="N11" s="90"/>
      <c r="O11" s="155"/>
      <c r="P11" s="160">
        <f t="shared" si="1"/>
        <v>0</v>
      </c>
      <c r="Q11" s="159" t="str">
        <f t="shared" si="0"/>
        <v>0002A</v>
      </c>
    </row>
    <row r="12" spans="1:17" ht="14.25" thickBot="1">
      <c r="A12" s="96">
        <v>8</v>
      </c>
      <c r="B12" s="97">
        <v>2</v>
      </c>
      <c r="C12" s="97"/>
      <c r="D12" s="85"/>
      <c r="E12" s="86"/>
      <c r="F12" s="85"/>
      <c r="G12" s="87"/>
      <c r="H12" s="87"/>
      <c r="I12" s="87" t="s">
        <v>508</v>
      </c>
      <c r="J12" s="88"/>
      <c r="K12" s="86"/>
      <c r="L12" s="86" t="s">
        <v>72</v>
      </c>
      <c r="M12" s="89">
        <v>39157</v>
      </c>
      <c r="N12" s="90"/>
      <c r="O12" s="155"/>
      <c r="P12" s="160">
        <f t="shared" si="1"/>
        <v>0</v>
      </c>
      <c r="Q12" s="159" t="str">
        <f t="shared" si="0"/>
        <v>0002A</v>
      </c>
    </row>
    <row r="13" spans="1:17" ht="14.25" thickBot="1">
      <c r="A13" s="96">
        <v>9</v>
      </c>
      <c r="B13" s="97">
        <v>2</v>
      </c>
      <c r="C13" s="97"/>
      <c r="D13" s="85"/>
      <c r="E13" s="86"/>
      <c r="F13" s="85"/>
      <c r="G13" s="87"/>
      <c r="H13" s="87"/>
      <c r="I13" s="87" t="s">
        <v>508</v>
      </c>
      <c r="J13" s="88"/>
      <c r="K13" s="86"/>
      <c r="L13" s="86" t="s">
        <v>48</v>
      </c>
      <c r="M13" s="89">
        <v>39159</v>
      </c>
      <c r="N13" s="89">
        <v>39146</v>
      </c>
      <c r="O13" s="156"/>
      <c r="P13" s="160">
        <f t="shared" si="1"/>
        <v>1</v>
      </c>
      <c r="Q13" s="159" t="str">
        <f t="shared" si="0"/>
        <v>0002A</v>
      </c>
    </row>
    <row r="14" spans="1:17" ht="14.25" thickBot="1">
      <c r="A14" s="96">
        <v>10</v>
      </c>
      <c r="B14" s="97">
        <v>2</v>
      </c>
      <c r="C14" s="97"/>
      <c r="D14" s="85"/>
      <c r="E14" s="86"/>
      <c r="F14" s="85"/>
      <c r="G14" s="87" t="s">
        <v>453</v>
      </c>
      <c r="H14" s="87">
        <v>0</v>
      </c>
      <c r="I14" s="87" t="s">
        <v>508</v>
      </c>
      <c r="J14" s="88">
        <v>0</v>
      </c>
      <c r="K14" s="86"/>
      <c r="L14" s="86" t="s">
        <v>43</v>
      </c>
      <c r="M14" s="89"/>
      <c r="N14" s="89">
        <v>39147</v>
      </c>
      <c r="O14" s="155"/>
      <c r="P14" s="160">
        <f t="shared" si="1"/>
        <v>1</v>
      </c>
      <c r="Q14" s="159" t="str">
        <f t="shared" si="0"/>
        <v>0002A</v>
      </c>
    </row>
    <row r="15" spans="1:17" ht="14.25" thickBot="1">
      <c r="A15" s="96">
        <v>11</v>
      </c>
      <c r="B15" s="97">
        <v>2</v>
      </c>
      <c r="C15" s="97"/>
      <c r="D15" s="85"/>
      <c r="E15" s="86"/>
      <c r="F15" s="85"/>
      <c r="G15" s="87" t="s">
        <v>283</v>
      </c>
      <c r="H15" s="87">
        <v>0</v>
      </c>
      <c r="I15" s="87" t="s">
        <v>508</v>
      </c>
      <c r="J15" s="88">
        <v>0</v>
      </c>
      <c r="K15" s="86"/>
      <c r="L15" s="86" t="s">
        <v>49</v>
      </c>
      <c r="M15" s="89"/>
      <c r="N15" s="89">
        <v>39148</v>
      </c>
      <c r="O15" s="155"/>
      <c r="P15" s="160">
        <f t="shared" si="1"/>
        <v>1</v>
      </c>
      <c r="Q15" s="159" t="str">
        <f t="shared" si="0"/>
        <v>0002A</v>
      </c>
    </row>
    <row r="16" spans="1:17" ht="14.25" thickBot="1">
      <c r="A16" s="96">
        <v>12</v>
      </c>
      <c r="B16" s="97">
        <v>2</v>
      </c>
      <c r="C16" s="97"/>
      <c r="D16" s="85"/>
      <c r="E16" s="86"/>
      <c r="F16" s="85"/>
      <c r="G16" s="87" t="s">
        <v>584</v>
      </c>
      <c r="H16" s="87">
        <v>0</v>
      </c>
      <c r="I16" s="87" t="s">
        <v>507</v>
      </c>
      <c r="J16" s="88">
        <v>0</v>
      </c>
      <c r="K16" s="86"/>
      <c r="L16" s="86" t="s">
        <v>50</v>
      </c>
      <c r="M16" s="89"/>
      <c r="N16" s="89">
        <v>39149</v>
      </c>
      <c r="O16" s="156"/>
      <c r="P16" s="160">
        <f t="shared" si="1"/>
        <v>1</v>
      </c>
      <c r="Q16" s="159" t="str">
        <f t="shared" si="0"/>
        <v>0002O</v>
      </c>
    </row>
    <row r="17" spans="1:17" ht="14.25" thickBot="1">
      <c r="A17" s="96">
        <v>13</v>
      </c>
      <c r="B17" s="97">
        <v>2</v>
      </c>
      <c r="C17" s="97"/>
      <c r="D17" s="85"/>
      <c r="E17" s="86"/>
      <c r="F17" s="85"/>
      <c r="G17" s="87"/>
      <c r="H17" s="87"/>
      <c r="I17" s="87" t="s">
        <v>508</v>
      </c>
      <c r="J17" s="88"/>
      <c r="K17" s="86"/>
      <c r="L17" s="86" t="s">
        <v>51</v>
      </c>
      <c r="M17" s="89">
        <v>39167</v>
      </c>
      <c r="N17" s="89">
        <v>39171</v>
      </c>
      <c r="O17" s="156"/>
      <c r="P17" s="160">
        <f t="shared" si="1"/>
        <v>1</v>
      </c>
      <c r="Q17" s="159" t="str">
        <f t="shared" si="0"/>
        <v>0002A</v>
      </c>
    </row>
    <row r="18" spans="1:17" ht="14.25" thickBot="1">
      <c r="A18" s="96">
        <v>14</v>
      </c>
      <c r="B18" s="97">
        <v>2</v>
      </c>
      <c r="C18" s="97"/>
      <c r="D18" s="85"/>
      <c r="E18" s="86"/>
      <c r="F18" s="85"/>
      <c r="G18" s="87"/>
      <c r="H18" s="87"/>
      <c r="I18" s="87" t="s">
        <v>508</v>
      </c>
      <c r="J18" s="88"/>
      <c r="K18" s="86"/>
      <c r="L18" s="86" t="s">
        <v>55</v>
      </c>
      <c r="M18" s="89">
        <v>39169</v>
      </c>
      <c r="N18" s="90"/>
      <c r="O18" s="155"/>
      <c r="P18" s="160">
        <f t="shared" si="1"/>
        <v>0</v>
      </c>
      <c r="Q18" s="159" t="str">
        <f t="shared" si="0"/>
        <v>0002A</v>
      </c>
    </row>
    <row r="19" spans="1:17" ht="14.25" thickBot="1">
      <c r="A19" s="96">
        <v>15</v>
      </c>
      <c r="B19" s="97">
        <v>2</v>
      </c>
      <c r="C19" s="97"/>
      <c r="D19" s="85"/>
      <c r="E19" s="86"/>
      <c r="F19" s="85"/>
      <c r="G19" s="87"/>
      <c r="H19" s="87"/>
      <c r="I19" s="87" t="s">
        <v>508</v>
      </c>
      <c r="J19" s="88"/>
      <c r="K19" s="86"/>
      <c r="L19" s="86" t="s">
        <v>58</v>
      </c>
      <c r="M19" s="89">
        <v>39171</v>
      </c>
      <c r="N19" s="89"/>
      <c r="O19" s="156"/>
      <c r="P19" s="160">
        <f t="shared" si="1"/>
        <v>0</v>
      </c>
      <c r="Q19" s="159" t="str">
        <f t="shared" si="0"/>
        <v>0002A</v>
      </c>
    </row>
    <row r="20" spans="1:17" ht="14.25" thickBot="1">
      <c r="A20" s="96">
        <v>16</v>
      </c>
      <c r="B20" s="97">
        <v>3</v>
      </c>
      <c r="C20" s="97"/>
      <c r="D20" s="85"/>
      <c r="E20" s="86"/>
      <c r="F20" s="85"/>
      <c r="G20" s="87"/>
      <c r="H20" s="87"/>
      <c r="I20" s="87" t="s">
        <v>508</v>
      </c>
      <c r="J20" s="88"/>
      <c r="K20" s="86"/>
      <c r="L20" s="86" t="s">
        <v>60</v>
      </c>
      <c r="M20" s="89">
        <v>39173</v>
      </c>
      <c r="N20" s="90"/>
      <c r="O20" s="155"/>
      <c r="P20" s="160">
        <f t="shared" si="1"/>
        <v>0</v>
      </c>
      <c r="Q20" s="159" t="str">
        <f t="shared" si="0"/>
        <v>0003A</v>
      </c>
    </row>
    <row r="21" spans="1:17" ht="23.25" thickBot="1">
      <c r="A21" s="96">
        <v>17</v>
      </c>
      <c r="B21" s="97">
        <v>3</v>
      </c>
      <c r="C21" s="97"/>
      <c r="D21" s="85"/>
      <c r="E21" s="86"/>
      <c r="F21" s="85"/>
      <c r="G21" s="87"/>
      <c r="H21" s="87"/>
      <c r="I21" s="87" t="s">
        <v>507</v>
      </c>
      <c r="J21" s="88"/>
      <c r="K21" s="86"/>
      <c r="L21" s="86" t="s">
        <v>68</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8" customWidth="1"/>
    <col min="2" max="2" width="25.140625" style="128" customWidth="1"/>
    <col min="3" max="3" width="15.28515625" style="128" customWidth="1"/>
    <col min="4" max="4" width="16" style="128" customWidth="1"/>
    <col min="5" max="5" width="14.140625" style="128" customWidth="1"/>
    <col min="6" max="6" width="27.28515625" style="128" customWidth="1"/>
    <col min="7" max="7" width="13.7109375" style="128" customWidth="1"/>
    <col min="8" max="8" width="14.85546875" style="128" customWidth="1"/>
    <col min="9" max="9" width="5.5703125" style="128" customWidth="1"/>
    <col min="10" max="16384" width="9.140625" style="128"/>
  </cols>
  <sheetData>
    <row r="1" spans="2:13" ht="6.75" customHeight="1">
      <c r="B1" s="127"/>
    </row>
    <row r="2" spans="2:13" ht="15.75">
      <c r="B2" s="300" t="s">
        <v>586</v>
      </c>
      <c r="C2" s="301"/>
      <c r="D2" s="301"/>
      <c r="E2" s="301"/>
      <c r="F2" s="301"/>
      <c r="G2" s="301"/>
      <c r="H2" s="301"/>
      <c r="I2" s="301"/>
      <c r="J2" s="301"/>
      <c r="K2" s="301"/>
      <c r="L2" s="301"/>
      <c r="M2" s="302"/>
    </row>
    <row r="22" spans="2:13" ht="15.75">
      <c r="B22" s="300" t="s">
        <v>522</v>
      </c>
      <c r="C22" s="301"/>
      <c r="D22" s="301"/>
      <c r="E22" s="301"/>
      <c r="F22" s="301"/>
      <c r="G22" s="301"/>
      <c r="H22" s="301"/>
      <c r="I22" s="301"/>
      <c r="J22" s="301"/>
      <c r="K22" s="301"/>
      <c r="L22" s="301"/>
      <c r="M22" s="302"/>
    </row>
    <row r="23" spans="2:13" ht="13.5" thickBot="1"/>
    <row r="24" spans="2:13" ht="15" thickTop="1">
      <c r="B24" s="150" t="s">
        <v>299</v>
      </c>
      <c r="C24" s="151" t="s">
        <v>297</v>
      </c>
      <c r="D24" s="152" t="s">
        <v>523</v>
      </c>
      <c r="E24" s="152" t="s">
        <v>524</v>
      </c>
    </row>
    <row r="25" spans="2:13">
      <c r="B25" s="147" t="s">
        <v>508</v>
      </c>
      <c r="C25" s="148"/>
      <c r="D25" s="149">
        <v>16</v>
      </c>
      <c r="E25" s="149">
        <v>7</v>
      </c>
    </row>
    <row r="26" spans="2:13">
      <c r="B26" s="115"/>
      <c r="C26" s="116" t="s">
        <v>300</v>
      </c>
      <c r="D26" s="112">
        <v>1</v>
      </c>
      <c r="E26" s="113">
        <v>0</v>
      </c>
    </row>
    <row r="27" spans="2:13">
      <c r="B27" s="115"/>
      <c r="C27" s="116" t="s">
        <v>301</v>
      </c>
      <c r="D27" s="112">
        <v>1</v>
      </c>
      <c r="E27" s="113">
        <v>0</v>
      </c>
    </row>
    <row r="28" spans="2:13">
      <c r="B28" s="115"/>
      <c r="C28" s="116" t="s">
        <v>302</v>
      </c>
      <c r="D28" s="112">
        <v>1</v>
      </c>
      <c r="E28" s="113">
        <v>1</v>
      </c>
    </row>
    <row r="29" spans="2:13">
      <c r="B29" s="115"/>
      <c r="C29" s="116" t="s">
        <v>303</v>
      </c>
      <c r="D29" s="112">
        <v>1</v>
      </c>
      <c r="E29" s="113">
        <v>1</v>
      </c>
    </row>
    <row r="30" spans="2:13">
      <c r="B30" s="115"/>
      <c r="C30" s="116" t="s">
        <v>304</v>
      </c>
      <c r="D30" s="112">
        <v>2</v>
      </c>
      <c r="E30" s="113">
        <v>2</v>
      </c>
    </row>
    <row r="31" spans="2:13">
      <c r="B31" s="115"/>
      <c r="C31" s="116" t="s">
        <v>305</v>
      </c>
      <c r="D31" s="112">
        <v>2</v>
      </c>
      <c r="E31" s="113">
        <v>2</v>
      </c>
    </row>
    <row r="32" spans="2:13">
      <c r="B32" s="115"/>
      <c r="C32" s="116" t="s">
        <v>306</v>
      </c>
      <c r="D32" s="112">
        <v>2</v>
      </c>
      <c r="E32" s="113">
        <v>0</v>
      </c>
    </row>
    <row r="33" spans="2:5">
      <c r="B33" s="115"/>
      <c r="C33" s="116" t="s">
        <v>307</v>
      </c>
      <c r="D33" s="112">
        <v>2</v>
      </c>
      <c r="E33" s="113">
        <v>0</v>
      </c>
    </row>
    <row r="34" spans="2:5">
      <c r="B34" s="115"/>
      <c r="C34" s="116" t="s">
        <v>308</v>
      </c>
      <c r="D34" s="112">
        <v>2</v>
      </c>
      <c r="E34" s="113">
        <v>1</v>
      </c>
    </row>
    <row r="35" spans="2:5">
      <c r="B35" s="115"/>
      <c r="C35" s="116" t="s">
        <v>309</v>
      </c>
      <c r="D35" s="112">
        <v>1</v>
      </c>
      <c r="E35" s="113">
        <v>0</v>
      </c>
    </row>
    <row r="36" spans="2:5">
      <c r="B36" s="115"/>
      <c r="C36" s="116" t="s">
        <v>310</v>
      </c>
      <c r="D36" s="112">
        <v>1</v>
      </c>
      <c r="E36" s="113">
        <v>0</v>
      </c>
    </row>
    <row r="37" spans="2:5">
      <c r="B37" s="115"/>
      <c r="C37" s="117"/>
      <c r="D37" s="114"/>
      <c r="E37" s="114"/>
    </row>
    <row r="38" spans="2:5">
      <c r="B38" s="147" t="s">
        <v>507</v>
      </c>
      <c r="C38" s="148"/>
      <c r="D38" s="149">
        <v>1</v>
      </c>
      <c r="E38" s="149">
        <v>1</v>
      </c>
    </row>
    <row r="39" spans="2:5">
      <c r="B39" s="115"/>
      <c r="C39" s="116" t="s">
        <v>309</v>
      </c>
      <c r="D39" s="112">
        <v>1</v>
      </c>
      <c r="E39" s="113">
        <v>1</v>
      </c>
    </row>
    <row r="40" spans="2:5" ht="13.5" thickBot="1">
      <c r="B40" s="115"/>
      <c r="C40" s="117"/>
      <c r="D40" s="114"/>
      <c r="E40" s="114"/>
    </row>
    <row r="41" spans="2:5" ht="16.5" thickTop="1" thickBot="1">
      <c r="B41" s="120" t="s">
        <v>525</v>
      </c>
      <c r="C41" s="118"/>
      <c r="D41" s="119">
        <v>17</v>
      </c>
      <c r="E41" s="121">
        <v>8</v>
      </c>
    </row>
    <row r="42" spans="2:5" ht="13.5" thickTop="1"/>
    <row r="50" spans="2:13" ht="15">
      <c r="B50" s="303" t="s">
        <v>587</v>
      </c>
      <c r="C50" s="304"/>
      <c r="D50" s="304"/>
      <c r="E50" s="304"/>
      <c r="F50" s="304"/>
      <c r="G50" s="304"/>
      <c r="H50" s="304"/>
      <c r="I50" s="304"/>
      <c r="J50" s="304"/>
      <c r="K50" s="304"/>
      <c r="L50" s="304"/>
      <c r="M50" s="305"/>
    </row>
    <row r="52" spans="2:13">
      <c r="C52" s="129" t="s">
        <v>202</v>
      </c>
      <c r="D52" s="129" t="s">
        <v>453</v>
      </c>
      <c r="E52" s="209" t="s">
        <v>283</v>
      </c>
      <c r="F52" s="129" t="s">
        <v>584</v>
      </c>
      <c r="G52" s="209" t="s">
        <v>28</v>
      </c>
      <c r="H52" s="209" t="s">
        <v>27</v>
      </c>
    </row>
    <row r="53" spans="2:13" ht="18.75" customHeight="1">
      <c r="B53" s="130" t="s">
        <v>494</v>
      </c>
      <c r="C53" s="131">
        <f>Bitácora!H7</f>
        <v>22</v>
      </c>
      <c r="D53" s="131">
        <f>Bitácora!I7</f>
        <v>7</v>
      </c>
      <c r="E53" s="131">
        <f>Bitácora!J7</f>
        <v>7</v>
      </c>
      <c r="F53" s="131">
        <f>Bitácora!K7</f>
        <v>6</v>
      </c>
      <c r="G53" s="131">
        <f>Bitácora!L7</f>
        <v>9</v>
      </c>
      <c r="H53" s="131">
        <f>Bitácora!M7</f>
        <v>3</v>
      </c>
    </row>
    <row r="54" spans="2:13" ht="15.75" customHeight="1">
      <c r="B54" s="130" t="s">
        <v>495</v>
      </c>
      <c r="C54" s="131">
        <f>Bitácora!H8</f>
        <v>6</v>
      </c>
      <c r="D54" s="131">
        <f>Bitácora!I8</f>
        <v>0</v>
      </c>
      <c r="E54" s="131">
        <f>Bitácora!J8</f>
        <v>0</v>
      </c>
      <c r="F54" s="131">
        <f>Bitácora!K8</f>
        <v>0</v>
      </c>
      <c r="G54" s="131">
        <f>Bitácora!L8</f>
        <v>1</v>
      </c>
      <c r="H54" s="131">
        <f>Bitácora!M8</f>
        <v>0</v>
      </c>
    </row>
    <row r="55" spans="2:13">
      <c r="B55" s="130" t="s">
        <v>496</v>
      </c>
      <c r="C55" s="131">
        <f>Bitácora!H9</f>
        <v>3</v>
      </c>
      <c r="D55" s="131">
        <f>Bitácora!I9</f>
        <v>0</v>
      </c>
      <c r="E55" s="131">
        <f>Bitácora!J9</f>
        <v>0</v>
      </c>
      <c r="F55" s="131">
        <f>Bitácora!K9</f>
        <v>0</v>
      </c>
      <c r="G55" s="131">
        <f>Bitácora!L9</f>
        <v>0</v>
      </c>
      <c r="H55" s="131">
        <f>Bitácora!M9</f>
        <v>0</v>
      </c>
    </row>
    <row r="56" spans="2:13" ht="1.5" customHeight="1">
      <c r="B56" s="130"/>
      <c r="C56" s="131">
        <f>Bitácora!H10</f>
        <v>0.7857142857142857</v>
      </c>
      <c r="D56" s="132">
        <f>[1]Bitácora!$D7</f>
        <v>0.82352941176470573</v>
      </c>
      <c r="E56" s="131">
        <f>Bitácora!J10</f>
        <v>1</v>
      </c>
      <c r="F56" s="132">
        <f>[1]Bitácora!$D7</f>
        <v>0.82352941176470573</v>
      </c>
      <c r="G56" s="132">
        <f>[1]Bitácora!$D7</f>
        <v>0.82352941176470573</v>
      </c>
      <c r="H56" s="132">
        <f>[1]Bitácora!$D7</f>
        <v>0.82352941176470573</v>
      </c>
    </row>
    <row r="57" spans="2:13">
      <c r="B57" s="133" t="s">
        <v>218</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sheetPr codeName="Sheet10"/>
  <dimension ref="A1:H73"/>
  <sheetViews>
    <sheetView showGridLines="0" topLeftCell="A28" workbookViewId="0">
      <selection activeCell="A38" sqref="A38:C38"/>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06" t="s">
        <v>340</v>
      </c>
      <c r="B1" s="306"/>
      <c r="C1" s="306"/>
    </row>
    <row r="2" spans="1:8">
      <c r="A2" s="222" t="s">
        <v>171</v>
      </c>
      <c r="B2" s="312" t="s">
        <v>325</v>
      </c>
      <c r="C2" s="313"/>
    </row>
    <row r="3" spans="1:8">
      <c r="A3" s="7">
        <v>1</v>
      </c>
      <c r="B3" s="32" t="s">
        <v>175</v>
      </c>
      <c r="C3" s="33"/>
      <c r="F3" s="306" t="s">
        <v>25</v>
      </c>
      <c r="G3" s="306"/>
    </row>
    <row r="4" spans="1:8">
      <c r="A4" s="7">
        <v>2</v>
      </c>
      <c r="B4" s="32" t="s">
        <v>341</v>
      </c>
      <c r="C4" s="33"/>
      <c r="F4" s="222" t="s">
        <v>171</v>
      </c>
      <c r="G4" s="222" t="s">
        <v>325</v>
      </c>
    </row>
    <row r="5" spans="1:8">
      <c r="A5" s="7">
        <v>3</v>
      </c>
      <c r="B5" s="32" t="s">
        <v>387</v>
      </c>
      <c r="C5" s="33"/>
      <c r="F5" s="7">
        <v>1</v>
      </c>
      <c r="G5" s="7" t="s">
        <v>26</v>
      </c>
    </row>
    <row r="6" spans="1:8">
      <c r="F6" s="7">
        <v>2</v>
      </c>
      <c r="G6" s="7" t="s">
        <v>467</v>
      </c>
    </row>
    <row r="7" spans="1:8">
      <c r="A7" s="306" t="s">
        <v>342</v>
      </c>
      <c r="B7" s="306"/>
      <c r="C7" s="306"/>
      <c r="D7" s="306"/>
      <c r="F7" s="7">
        <v>3</v>
      </c>
      <c r="G7" s="7" t="s">
        <v>584</v>
      </c>
    </row>
    <row r="8" spans="1:8">
      <c r="A8" s="222" t="s">
        <v>171</v>
      </c>
      <c r="B8" s="314" t="s">
        <v>343</v>
      </c>
      <c r="C8" s="315"/>
      <c r="D8" s="222"/>
      <c r="F8" s="7">
        <v>4</v>
      </c>
      <c r="G8" s="7" t="s">
        <v>27</v>
      </c>
    </row>
    <row r="9" spans="1:8">
      <c r="A9" s="18">
        <v>1</v>
      </c>
      <c r="B9" s="21" t="s">
        <v>344</v>
      </c>
      <c r="C9" s="17" t="s">
        <v>345</v>
      </c>
      <c r="D9" s="17" t="s">
        <v>346</v>
      </c>
      <c r="F9" s="7">
        <v>5</v>
      </c>
      <c r="G9" s="7" t="s">
        <v>28</v>
      </c>
    </row>
    <row r="10" spans="1:8" ht="25.5">
      <c r="A10" s="18">
        <v>2</v>
      </c>
      <c r="B10" s="21" t="s">
        <v>347</v>
      </c>
      <c r="C10" s="17" t="s">
        <v>348</v>
      </c>
      <c r="D10" s="19" t="s">
        <v>349</v>
      </c>
      <c r="F10" s="196">
        <v>6</v>
      </c>
      <c r="G10" s="196" t="s">
        <v>202</v>
      </c>
    </row>
    <row r="11" spans="1:8" ht="25.5">
      <c r="A11" s="18">
        <v>3</v>
      </c>
      <c r="B11" s="21" t="s">
        <v>350</v>
      </c>
      <c r="C11" s="17" t="s">
        <v>351</v>
      </c>
      <c r="D11" s="19" t="s">
        <v>352</v>
      </c>
      <c r="F11" s="197">
        <v>7</v>
      </c>
      <c r="G11" s="198" t="s">
        <v>453</v>
      </c>
    </row>
    <row r="12" spans="1:8">
      <c r="A12" s="20"/>
      <c r="B12" s="34"/>
      <c r="C12" s="20"/>
      <c r="D12" s="35"/>
      <c r="F12" s="197">
        <v>8</v>
      </c>
      <c r="G12" s="198" t="s">
        <v>283</v>
      </c>
    </row>
    <row r="13" spans="1:8">
      <c r="A13" s="20"/>
      <c r="B13" s="34"/>
      <c r="C13" s="20"/>
      <c r="D13" s="35"/>
    </row>
    <row r="15" spans="1:8">
      <c r="A15" s="307" t="s">
        <v>437</v>
      </c>
      <c r="B15" s="308"/>
      <c r="C15" s="309"/>
    </row>
    <row r="16" spans="1:8" ht="25.5" customHeight="1">
      <c r="A16" s="223" t="s">
        <v>171</v>
      </c>
      <c r="B16" s="310" t="s">
        <v>325</v>
      </c>
      <c r="C16" s="311"/>
      <c r="F16" s="307" t="s">
        <v>292</v>
      </c>
      <c r="G16" s="308"/>
      <c r="H16" s="309"/>
    </row>
    <row r="17" spans="1:8">
      <c r="A17" s="18">
        <v>1</v>
      </c>
      <c r="B17" s="18" t="s">
        <v>438</v>
      </c>
      <c r="C17" s="17"/>
      <c r="F17" s="223" t="s">
        <v>171</v>
      </c>
      <c r="G17" s="310" t="s">
        <v>325</v>
      </c>
      <c r="H17" s="311"/>
    </row>
    <row r="18" spans="1:8">
      <c r="A18" s="18">
        <v>2</v>
      </c>
      <c r="B18" s="18" t="s">
        <v>439</v>
      </c>
      <c r="C18" s="17"/>
      <c r="F18" s="18">
        <v>1</v>
      </c>
      <c r="G18" s="219" t="s">
        <v>598</v>
      </c>
      <c r="H18" s="17"/>
    </row>
    <row r="19" spans="1:8">
      <c r="A19" s="18">
        <v>3</v>
      </c>
      <c r="B19" s="18" t="s">
        <v>440</v>
      </c>
      <c r="C19" s="17"/>
      <c r="F19" s="18">
        <v>2</v>
      </c>
      <c r="G19" s="219" t="s">
        <v>599</v>
      </c>
      <c r="H19" s="17"/>
    </row>
    <row r="20" spans="1:8">
      <c r="A20" s="18">
        <v>4</v>
      </c>
      <c r="B20" s="18" t="s">
        <v>441</v>
      </c>
      <c r="C20" s="17"/>
      <c r="F20" s="18">
        <v>3</v>
      </c>
      <c r="G20" s="219" t="s">
        <v>600</v>
      </c>
      <c r="H20" s="17"/>
    </row>
    <row r="21" spans="1:8">
      <c r="A21" s="18">
        <v>5</v>
      </c>
      <c r="B21" s="18" t="s">
        <v>478</v>
      </c>
      <c r="C21" s="17"/>
    </row>
    <row r="22" spans="1:8">
      <c r="A22" s="18">
        <v>6</v>
      </c>
      <c r="B22" s="18" t="s">
        <v>490</v>
      </c>
      <c r="C22" s="17"/>
    </row>
    <row r="25" spans="1:8">
      <c r="A25" s="307" t="s">
        <v>333</v>
      </c>
      <c r="B25" s="308"/>
      <c r="C25" s="309"/>
    </row>
    <row r="26" spans="1:8" ht="25.5" customHeight="1">
      <c r="A26" s="223" t="s">
        <v>171</v>
      </c>
      <c r="B26" s="310" t="s">
        <v>325</v>
      </c>
      <c r="C26" s="311"/>
    </row>
    <row r="27" spans="1:8">
      <c r="A27" s="18">
        <v>1</v>
      </c>
      <c r="B27" s="18" t="s">
        <v>459</v>
      </c>
      <c r="C27" s="17"/>
    </row>
    <row r="28" spans="1:8">
      <c r="A28" s="18">
        <v>2</v>
      </c>
      <c r="B28" s="18" t="s">
        <v>211</v>
      </c>
      <c r="C28" s="17"/>
    </row>
    <row r="29" spans="1:8">
      <c r="A29" s="18">
        <v>3</v>
      </c>
      <c r="B29" s="18" t="s">
        <v>273</v>
      </c>
      <c r="C29" s="17"/>
    </row>
    <row r="30" spans="1:8">
      <c r="A30" s="18">
        <v>4</v>
      </c>
      <c r="B30" s="18" t="s">
        <v>283</v>
      </c>
      <c r="C30" s="17"/>
    </row>
    <row r="31" spans="1:8">
      <c r="A31" s="18">
        <v>5</v>
      </c>
      <c r="B31" s="18" t="s">
        <v>461</v>
      </c>
      <c r="C31" s="17"/>
    </row>
    <row r="32" spans="1:8">
      <c r="A32" s="18">
        <v>6</v>
      </c>
      <c r="B32" s="18" t="s">
        <v>467</v>
      </c>
      <c r="C32" s="17"/>
    </row>
    <row r="33" spans="1:3">
      <c r="A33" s="18">
        <v>7</v>
      </c>
      <c r="B33" s="18" t="s">
        <v>202</v>
      </c>
      <c r="C33" s="17"/>
    </row>
    <row r="34" spans="1:3">
      <c r="A34" s="18">
        <v>8</v>
      </c>
      <c r="B34" s="18" t="s">
        <v>470</v>
      </c>
      <c r="C34" s="17"/>
    </row>
    <row r="35" spans="1:3">
      <c r="A35" s="18">
        <v>9</v>
      </c>
      <c r="B35" s="18" t="s">
        <v>469</v>
      </c>
      <c r="C35" s="17"/>
    </row>
    <row r="37" spans="1:3">
      <c r="A37" s="307" t="s">
        <v>297</v>
      </c>
      <c r="B37" s="308"/>
      <c r="C37" s="309"/>
    </row>
    <row r="38" spans="1:3">
      <c r="A38" s="223" t="s">
        <v>171</v>
      </c>
      <c r="B38" s="310" t="s">
        <v>325</v>
      </c>
      <c r="C38" s="311"/>
    </row>
    <row r="39" spans="1:3">
      <c r="A39" s="18">
        <v>1</v>
      </c>
      <c r="B39" s="18" t="s">
        <v>47</v>
      </c>
      <c r="C39" s="17"/>
    </row>
    <row r="40" spans="1:3">
      <c r="A40" s="18">
        <v>2</v>
      </c>
      <c r="B40" s="18" t="s">
        <v>71</v>
      </c>
      <c r="C40" s="17"/>
    </row>
    <row r="41" spans="1:3">
      <c r="A41" s="18">
        <v>3</v>
      </c>
      <c r="B41" s="18" t="s">
        <v>62</v>
      </c>
      <c r="C41" s="17"/>
    </row>
    <row r="42" spans="1:3">
      <c r="A42" s="212">
        <v>4</v>
      </c>
      <c r="B42" s="18" t="s">
        <v>70</v>
      </c>
      <c r="C42" s="17"/>
    </row>
    <row r="43" spans="1:3">
      <c r="A43" s="18">
        <v>5</v>
      </c>
      <c r="B43" s="18" t="s">
        <v>44</v>
      </c>
      <c r="C43" s="17"/>
    </row>
    <row r="44" spans="1:3">
      <c r="A44" s="18">
        <v>6</v>
      </c>
      <c r="B44" s="18" t="s">
        <v>45</v>
      </c>
      <c r="C44" s="17"/>
    </row>
    <row r="45" spans="1:3">
      <c r="A45" s="18">
        <v>7</v>
      </c>
      <c r="B45" s="18" t="s">
        <v>46</v>
      </c>
      <c r="C45" s="17"/>
    </row>
    <row r="46" spans="1:3">
      <c r="A46" s="18">
        <v>8</v>
      </c>
      <c r="B46" s="18" t="s">
        <v>72</v>
      </c>
      <c r="C46" s="17"/>
    </row>
    <row r="47" spans="1:3">
      <c r="A47" s="18">
        <v>9</v>
      </c>
      <c r="B47" s="18" t="s">
        <v>48</v>
      </c>
      <c r="C47" s="17"/>
    </row>
    <row r="48" spans="1:3">
      <c r="A48" s="18">
        <v>10</v>
      </c>
      <c r="B48" s="18" t="s">
        <v>43</v>
      </c>
      <c r="C48" s="17"/>
    </row>
    <row r="49" spans="1:3">
      <c r="A49" s="18">
        <v>11</v>
      </c>
      <c r="B49" s="18" t="s">
        <v>49</v>
      </c>
      <c r="C49" s="17"/>
    </row>
    <row r="50" spans="1:3">
      <c r="A50" s="18">
        <v>12</v>
      </c>
      <c r="B50" s="18" t="s">
        <v>50</v>
      </c>
      <c r="C50" s="17"/>
    </row>
    <row r="51" spans="1:3">
      <c r="A51" s="18">
        <v>13</v>
      </c>
      <c r="B51" s="18" t="s">
        <v>51</v>
      </c>
      <c r="C51" s="17"/>
    </row>
    <row r="52" spans="1:3">
      <c r="A52" s="18">
        <v>14</v>
      </c>
      <c r="B52" s="18" t="s">
        <v>52</v>
      </c>
      <c r="C52" s="17"/>
    </row>
    <row r="53" spans="1:3">
      <c r="A53" s="18">
        <v>15</v>
      </c>
      <c r="B53" s="18" t="s">
        <v>54</v>
      </c>
      <c r="C53" s="17"/>
    </row>
    <row r="54" spans="1:3">
      <c r="A54" s="18">
        <v>16</v>
      </c>
      <c r="B54" s="18" t="s">
        <v>55</v>
      </c>
      <c r="C54" s="17"/>
    </row>
    <row r="55" spans="1:3">
      <c r="A55" s="18">
        <v>17</v>
      </c>
      <c r="B55" s="18" t="s">
        <v>56</v>
      </c>
      <c r="C55" s="17"/>
    </row>
    <row r="56" spans="1:3">
      <c r="A56" s="18">
        <v>18</v>
      </c>
      <c r="B56" s="18" t="s">
        <v>42</v>
      </c>
      <c r="C56" s="17"/>
    </row>
    <row r="57" spans="1:3">
      <c r="A57" s="18">
        <v>19</v>
      </c>
      <c r="B57" s="18" t="s">
        <v>57</v>
      </c>
      <c r="C57" s="17"/>
    </row>
    <row r="58" spans="1:3">
      <c r="A58" s="18">
        <v>20</v>
      </c>
      <c r="B58" s="18" t="s">
        <v>53</v>
      </c>
      <c r="C58" s="17"/>
    </row>
    <row r="59" spans="1:3">
      <c r="A59" s="18">
        <v>21</v>
      </c>
      <c r="B59" s="18" t="s">
        <v>24</v>
      </c>
      <c r="C59" s="17"/>
    </row>
    <row r="60" spans="1:3">
      <c r="A60" s="18">
        <v>22</v>
      </c>
      <c r="B60" s="18" t="s">
        <v>58</v>
      </c>
      <c r="C60" s="17"/>
    </row>
    <row r="61" spans="1:3">
      <c r="A61" s="18">
        <v>23</v>
      </c>
      <c r="B61" s="18" t="s">
        <v>73</v>
      </c>
      <c r="C61" s="17"/>
    </row>
    <row r="62" spans="1:3">
      <c r="A62" s="18">
        <v>24</v>
      </c>
      <c r="B62" s="18" t="s">
        <v>59</v>
      </c>
      <c r="C62" s="17"/>
    </row>
    <row r="63" spans="1:3">
      <c r="A63" s="18">
        <v>25</v>
      </c>
      <c r="B63" s="18" t="s">
        <v>60</v>
      </c>
      <c r="C63" s="17"/>
    </row>
    <row r="64" spans="1:3">
      <c r="A64" s="18">
        <v>26</v>
      </c>
      <c r="B64" s="18" t="s">
        <v>41</v>
      </c>
      <c r="C64" s="17"/>
    </row>
    <row r="65" spans="1:3">
      <c r="A65" s="18">
        <v>27</v>
      </c>
      <c r="B65" s="18" t="s">
        <v>61</v>
      </c>
      <c r="C65" s="17"/>
    </row>
    <row r="66" spans="1:3">
      <c r="A66" s="18">
        <v>28</v>
      </c>
      <c r="B66" s="18" t="s">
        <v>63</v>
      </c>
      <c r="C66" s="17"/>
    </row>
    <row r="67" spans="1:3">
      <c r="A67" s="18">
        <v>29</v>
      </c>
      <c r="B67" s="18" t="s">
        <v>64</v>
      </c>
      <c r="C67" s="17"/>
    </row>
    <row r="68" spans="1:3">
      <c r="A68" s="18">
        <v>30</v>
      </c>
      <c r="B68" s="18" t="s">
        <v>65</v>
      </c>
      <c r="C68" s="17"/>
    </row>
    <row r="69" spans="1:3">
      <c r="A69" s="18">
        <v>31</v>
      </c>
      <c r="B69" s="18" t="s">
        <v>66</v>
      </c>
      <c r="C69" s="17"/>
    </row>
    <row r="70" spans="1:3">
      <c r="A70" s="18">
        <v>32</v>
      </c>
      <c r="B70" s="18" t="s">
        <v>67</v>
      </c>
      <c r="C70" s="17"/>
    </row>
    <row r="71" spans="1:3">
      <c r="A71" s="18">
        <v>33</v>
      </c>
      <c r="B71" s="18" t="s">
        <v>68</v>
      </c>
      <c r="C71" s="17"/>
    </row>
    <row r="72" spans="1:3">
      <c r="A72" s="18">
        <v>34</v>
      </c>
      <c r="B72" s="18" t="s">
        <v>68</v>
      </c>
      <c r="C72" s="17"/>
    </row>
    <row r="73" spans="1:3">
      <c r="A73" s="18">
        <v>35</v>
      </c>
      <c r="B73" s="18" t="s">
        <v>69</v>
      </c>
      <c r="C73" s="17"/>
    </row>
  </sheetData>
  <mergeCells count="13">
    <mergeCell ref="A1:C1"/>
    <mergeCell ref="B2:C2"/>
    <mergeCell ref="A7:D7"/>
    <mergeCell ref="B8:C8"/>
    <mergeCell ref="A37:C37"/>
    <mergeCell ref="B38:C38"/>
    <mergeCell ref="B26:C26"/>
    <mergeCell ref="F3:G3"/>
    <mergeCell ref="A15:C15"/>
    <mergeCell ref="B16:C16"/>
    <mergeCell ref="A25:C25"/>
    <mergeCell ref="F16:H16"/>
    <mergeCell ref="G17:H17"/>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casa</cp:lastModifiedBy>
  <cp:lastPrinted>2008-09-17T21:48:40Z</cp:lastPrinted>
  <dcterms:created xsi:type="dcterms:W3CDTF">1996-10-14T23:33:28Z</dcterms:created>
  <dcterms:modified xsi:type="dcterms:W3CDTF">2017-05-28T22:07:49Z</dcterms:modified>
</cp:coreProperties>
</file>